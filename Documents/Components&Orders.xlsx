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alzemeler" sheetId="1" state="visible" r:id="rId3"/>
    <sheet name="Siparişl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<sst xmlns="http://schemas.openxmlformats.org/spreadsheetml/2006/main" count="318" uniqueCount="85">
  <si>
    <t xml:space="preserve">Ürün</t>
  </si>
  <si>
    <t xml:space="preserve">Adet</t>
  </si>
  <si>
    <t xml:space="preserve">Kaynak</t>
  </si>
  <si>
    <t xml:space="preserve">Link</t>
  </si>
  <si>
    <t xml:space="preserve">MİKRODENETLEYİCİ / ANA KARTLAR</t>
  </si>
  <si>
    <t xml:space="preserve">ESP32 ESP-32S WiFi + Bluetooth Dual-Mode Geliştirme Kartı (30 Pin)</t>
  </si>
  <si>
    <t xml:space="preserve">Robotistan</t>
  </si>
  <si>
    <t xml:space="preserve">Ürün Linki</t>
  </si>
  <si>
    <t xml:space="preserve">ESP32-WROOM-32E</t>
  </si>
  <si>
    <t xml:space="preserve">Robiz</t>
  </si>
  <si>
    <t xml:space="preserve">EKRANLAR</t>
  </si>
  <si>
    <t xml:space="preserve">1.3 inç 128x64 4 Pin OLED Ekran Modülü SSD1306 I2C Beyaz</t>
  </si>
  <si>
    <t xml:space="preserve">Direnç.net</t>
  </si>
  <si>
    <t xml:space="preserve">2.8inç SPI Dokunmatik TFT Ekran Modülü - 240x320 Piksel, ILI9341</t>
  </si>
  <si>
    <t xml:space="preserve">SES MODÜLLERİ</t>
  </si>
  <si>
    <t xml:space="preserve">12mm Aktif Buzzer - Devreli Buzzer</t>
  </si>
  <si>
    <t xml:space="preserve">PCM5102A DAC Modül</t>
  </si>
  <si>
    <t xml:space="preserve">GÜÇ &amp; ŞARJ</t>
  </si>
  <si>
    <t xml:space="preserve">AMS1117 3.3V 1A Lineer Voltaj Regülatör SOT223</t>
  </si>
  <si>
    <t xml:space="preserve">Li-Po Pil 306090 3.7V 3000mAh</t>
  </si>
  <si>
    <t xml:space="preserve">Trendyol</t>
  </si>
  <si>
    <t xml:space="preserve">Li-Po Pil Konnektörleri</t>
  </si>
  <si>
    <t xml:space="preserve">MT3608 Type C Boost Modül</t>
  </si>
  <si>
    <t xml:space="preserve">TP4056 Type-C 1S 3.7V LiPo, Li-ion Pil Şarj Devresi</t>
  </si>
  <si>
    <t xml:space="preserve">TP4056-42 SMD SOP8 - Kontrol Entegresi</t>
  </si>
  <si>
    <t xml:space="preserve">DEPOLAMA</t>
  </si>
  <si>
    <t xml:space="preserve">Micro SD Soket</t>
  </si>
  <si>
    <t xml:space="preserve">Mikro SD Kart Modülü</t>
  </si>
  <si>
    <t xml:space="preserve">KONNEKTÖR &amp; KABLO</t>
  </si>
  <si>
    <t xml:space="preserve">3.5mm Stereo Jack Dişi Somunlu (Şase Tip)</t>
  </si>
  <si>
    <t xml:space="preserve">40 Adet Erkek-Erkek Jumper Kablo 20cm</t>
  </si>
  <si>
    <t xml:space="preserve">40 Pin Ayrılabilen Dişi-Dişi F-F Jumper Kablo-200 mm</t>
  </si>
  <si>
    <t xml:space="preserve">40 Pin Ayrılabilen Dişi-Erkek M-F Jumper Kablo-200 mm</t>
  </si>
  <si>
    <t xml:space="preserve">40 Pin Ayrılabilen Erkek-Erkek M-M Jumper Kablo-200 mm</t>
  </si>
  <si>
    <t xml:space="preserve">Mikro USB Kablo - 1.5 m</t>
  </si>
  <si>
    <t xml:space="preserve">Type-C Usb Soket 16 Pin Smd</t>
  </si>
  <si>
    <t xml:space="preserve">DİRENÇLER</t>
  </si>
  <si>
    <t xml:space="preserve">1.2K 805 1/8 SMD Direnç</t>
  </si>
  <si>
    <t xml:space="preserve">100K 1/4W Direnç</t>
  </si>
  <si>
    <t xml:space="preserve">100K 1/4W Metalfilm Direnç</t>
  </si>
  <si>
    <t xml:space="preserve">100K 805 1/8 SMD Direnç</t>
  </si>
  <si>
    <t xml:space="preserve">10K 805 1/8 SMD Direnç</t>
  </si>
  <si>
    <t xml:space="preserve">330K 1/4W Direnç</t>
  </si>
  <si>
    <t xml:space="preserve">330K 1/4W Metalfilm Direnç</t>
  </si>
  <si>
    <t xml:space="preserve">330R 1/4W Direnç</t>
  </si>
  <si>
    <t xml:space="preserve">330R 1/4W Metalfilm Direnç</t>
  </si>
  <si>
    <t xml:space="preserve">330R 805 1/8 SMD Direnç</t>
  </si>
  <si>
    <t xml:space="preserve">4.7K 1/4W Direnç</t>
  </si>
  <si>
    <t xml:space="preserve">4.7K 1/4W Metalfilm Direnç</t>
  </si>
  <si>
    <t xml:space="preserve">4.7K 805 1/8 SMD Direnç</t>
  </si>
  <si>
    <t xml:space="preserve">47K 1/4W Direnç</t>
  </si>
  <si>
    <t xml:space="preserve">47K 1/4W Metalfilm Direnç</t>
  </si>
  <si>
    <t xml:space="preserve">47K 805 1/8 SMD Direnç</t>
  </si>
  <si>
    <t xml:space="preserve">KONDANSATÖRLER</t>
  </si>
  <si>
    <t xml:space="preserve">0805 Smd Kapasitör Set 16 Tip 320 Parça (Yüzey Montaj Film Seramik: 10pF, 22pF, 33pF, 47pF, 220pF, 470pF, 1nF, 2.2nF, 10nF, 100nF, 470nF, 1uF, 2.2uF, 4.7uF, 10uF, 22uF)</t>
  </si>
  <si>
    <t xml:space="preserve">100nF 50V 10% x7R 805 SMD Kondansatör</t>
  </si>
  <si>
    <t xml:space="preserve">10uF 10V 10% x5R 805 SMD Kondansatör</t>
  </si>
  <si>
    <t xml:space="preserve">DİYOT &amp; ENTEGRELER</t>
  </si>
  <si>
    <t xml:space="preserve">CD4066BE Dip14 - Multiplexer Entegresi</t>
  </si>
  <si>
    <t xml:space="preserve">SS24-HT SMD 40V 2A Schottky Diyot</t>
  </si>
  <si>
    <t xml:space="preserve">LED</t>
  </si>
  <si>
    <t xml:space="preserve">805 Kılıf SMD Led - Kırmızı</t>
  </si>
  <si>
    <t xml:space="preserve">805 Kılıf SMD Led - Mavi</t>
  </si>
  <si>
    <t xml:space="preserve">805 Kılıf SMD Led - Yeşil</t>
  </si>
  <si>
    <t xml:space="preserve">BUTON &amp; SWITCH</t>
  </si>
  <si>
    <t xml:space="preserve">6x6 4.3mm Tach Buton (2 Bacak)</t>
  </si>
  <si>
    <t xml:space="preserve">DC162 Micro Switch</t>
  </si>
  <si>
    <t xml:space="preserve">DC171 Micro Switch</t>
  </si>
  <si>
    <t xml:space="preserve">Mini Tip SMD Tact Switch Buton</t>
  </si>
  <si>
    <t xml:space="preserve">BOBİN</t>
  </si>
  <si>
    <t xml:space="preserve">220UH 5.8X5.2 600mA - SMD Güç Bobini - FPI0502</t>
  </si>
  <si>
    <t xml:space="preserve">ALET &amp; EKİPMAN</t>
  </si>
  <si>
    <t xml:space="preserve">HTF Y-2 Metal Havya Standı</t>
  </si>
  <si>
    <t xml:space="preserve">SZ308 Dijital Multimetre - Kırmızı</t>
  </si>
  <si>
    <t xml:space="preserve">1. Sipariş — Direnç.net — 11.07.2026</t>
  </si>
  <si>
    <t xml:space="preserve">Fiyat (TL)</t>
  </si>
  <si>
    <t xml:space="preserve">Ürün Toplamı</t>
  </si>
  <si>
    <t xml:space="preserve">Ekstra (Kargo/KDV vb.)</t>
  </si>
  <si>
    <t xml:space="preserve">SİPARİŞ TOPLAMI</t>
  </si>
  <si>
    <t xml:space="preserve">2. Sipariş — Direnç.net — 12.09.2026</t>
  </si>
  <si>
    <r>
      <rPr>
        <b val="true"/>
        <sz val="12"/>
        <color rgb="FFFFFFFF"/>
        <rFont val="Arial"/>
        <family val="0"/>
        <charset val="1"/>
      </rPr>
      <t xml:space="preserve">3. Sipariş — Robiz </t>
    </r>
    <r>
      <rPr>
        <b val="true"/>
        <sz val="12"/>
        <color rgb="FFFFFFFF"/>
        <rFont val="Arial"/>
        <family val="0"/>
        <charset val="162"/>
      </rPr>
      <t xml:space="preserve">— 11.07.2026</t>
    </r>
  </si>
  <si>
    <t xml:space="preserve">0805 Smd Kapasitör Set 16 Tip 320 Parça</t>
  </si>
  <si>
    <r>
      <rPr>
        <b val="true"/>
        <sz val="12"/>
        <color rgb="FFFFFFFF"/>
        <rFont val="Arial"/>
        <family val="0"/>
        <charset val="1"/>
      </rPr>
      <t xml:space="preserve">4. Sipariş — Robotistan </t>
    </r>
    <r>
      <rPr>
        <b val="true"/>
        <sz val="12"/>
        <color rgb="FFFFFFFF"/>
        <rFont val="Arial"/>
        <family val="0"/>
        <charset val="162"/>
      </rPr>
      <t xml:space="preserve">— 12.09.2026</t>
    </r>
  </si>
  <si>
    <r>
      <rPr>
        <b val="true"/>
        <sz val="12"/>
        <color rgb="FFFFFFFF"/>
        <rFont val="Arial"/>
        <family val="0"/>
        <charset val="1"/>
      </rPr>
      <t xml:space="preserve">5. Sipariş — Trendyol</t>
    </r>
    <r>
      <rPr>
        <b val="true"/>
        <sz val="12"/>
        <color rgb="FFFFFFFF"/>
        <rFont val="Arial"/>
        <family val="0"/>
        <charset val="162"/>
      </rPr>
      <t xml:space="preserve">— 11.07.2026</t>
    </r>
  </si>
  <si>
    <t xml:space="preserve">GENEL TOPLAM 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</si>
</sst>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00[$₺-41F];[RED]\-#00[$₺-41F];&quot;0.00&quot;[$₺-41F]"/>
  </numFmts>
  <fonts count="12">
    <font>
      <sz val="11"/>
      <color theme="1"/>
      <name val="Calibri"/>
      <family val="2"/>
      <charset val="1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b val="true"/>
      <sz val="11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2"/>
      <color rgb="FFFFFFFF"/>
      <name val="Arial"/>
      <family val="0"/>
      <charset val="162"/>
    </font>
  </fonts>
  <fills count="5">
    <fill>
      <patternFill patternType="none"/>
    </fill>
    <fill>
      <patternFill patternType="gray125"/>
    </fill>
    <fill>
      <patternFill patternType="solid">
        <fgColor rgb="FF2F5597"/>
        <bgColor rgb="FF0563C1"/>
      </patternFill>
    </fill>
    <fill>
      <patternFill patternType="solid">
        <fgColor rgb="FFD9E1F2"/>
        <bgColor rgb="FFCCFFFF"/>
      </patternFill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robotistan.com/esp32-esp-32s-wifi-bluetooth-dual-mode-gelistirme-karti" TargetMode="External"/><Relationship Id="rId2" Type="http://schemas.openxmlformats.org/officeDocument/2006/relationships/hyperlink" Target="https://robiz.net/esp32wroom32e" TargetMode="External"/><Relationship Id="rId3" Type="http://schemas.openxmlformats.org/officeDocument/2006/relationships/hyperlink" Target="https://www.direnc.net/13-inc-4-pin-oled-ekran-modulu-ssd1306-i2c-beyaz" TargetMode="External"/><Relationship Id="rId4" Type="http://schemas.openxmlformats.org/officeDocument/2006/relationships/hyperlink" Target="https://www.robotistan.com/28-inc-arduino-dokunmatik-ekran-shield-240320" TargetMode="External"/><Relationship Id="rId5" Type="http://schemas.openxmlformats.org/officeDocument/2006/relationships/hyperlink" Target="https://www.robotistan.com/12mm-aktif-buzzer-devreli-buzzer" TargetMode="External"/><Relationship Id="rId6" Type="http://schemas.openxmlformats.org/officeDocument/2006/relationships/hyperlink" Target="https://robiz.net/pcm5102" TargetMode="External"/><Relationship Id="rId7" Type="http://schemas.openxmlformats.org/officeDocument/2006/relationships/hyperlink" Target="https://www.direnc.net/ams1117-smd-3v3-dogrusal-voltaj-regulatoru" TargetMode="External"/><Relationship Id="rId8" Type="http://schemas.openxmlformats.org/officeDocument/2006/relationships/hyperlink" Target="https://www.trendyol.com/sertec/lipo-polimer-306090-lityum-3-7v-3000mah-polimer-pil-p-681716219" TargetMode="External"/><Relationship Id="rId9" Type="http://schemas.openxmlformats.org/officeDocument/2006/relationships/hyperlink" Target="https://www.trendyol.com/motorobit/jst-ph-2-0-2-pin-kablolu-disi-konnektor-p-874965751" TargetMode="External"/><Relationship Id="rId10" Type="http://schemas.openxmlformats.org/officeDocument/2006/relationships/hyperlink" Target="https://robiz.net/mt3608typec" TargetMode="External"/><Relationship Id="rId11" Type="http://schemas.openxmlformats.org/officeDocument/2006/relationships/hyperlink" Target="https://www.robotistan.com/tp4056-type-c-1s-37v-lipo-li-ion-pil-sarj-devresi" TargetMode="External"/><Relationship Id="rId12" Type="http://schemas.openxmlformats.org/officeDocument/2006/relationships/hyperlink" Target="https://www.direnc.net/tp4056-42-smd-sop8-kontrol-entegresi" TargetMode="External"/><Relationship Id="rId13" Type="http://schemas.openxmlformats.org/officeDocument/2006/relationships/hyperlink" Target="https://robiz.net/microsdsocket" TargetMode="External"/><Relationship Id="rId14" Type="http://schemas.openxmlformats.org/officeDocument/2006/relationships/hyperlink" Target="https://www.robotistan.com/mikro-sd-kart-modulu-1" TargetMode="External"/><Relationship Id="rId15" Type="http://schemas.openxmlformats.org/officeDocument/2006/relationships/hyperlink" Target="https://www.direnc.net/35mm-stereo-jack-disi--sase-tip" TargetMode="External"/><Relationship Id="rId16" Type="http://schemas.openxmlformats.org/officeDocument/2006/relationships/hyperlink" Target="https://www.direnc.net/40-adet-erkek-erkek-jumper-20cm" TargetMode="External"/><Relationship Id="rId17" Type="http://schemas.openxmlformats.org/officeDocument/2006/relationships/hyperlink" Target="https://www.robotistan.com/40-pin-ayrilabilen-disi-disi-f-f-jumper-kablo-200-mm" TargetMode="External"/><Relationship Id="rId18" Type="http://schemas.openxmlformats.org/officeDocument/2006/relationships/hyperlink" Target="https://www.robotistan.com/40-pin-ayrilabilen-disi-erkek-m-f-jumper-kablo-200-mm" TargetMode="External"/><Relationship Id="rId19" Type="http://schemas.openxmlformats.org/officeDocument/2006/relationships/hyperlink" Target="https://www.robotistan.com/40-pin-ayrilabilen-erkek-erkek-m-m-jumper-kablo-200-mm" TargetMode="External"/><Relationship Id="rId20" Type="http://schemas.openxmlformats.org/officeDocument/2006/relationships/hyperlink" Target="https://www.robotistan.com/mikro-usb-kablo-1" TargetMode="External"/><Relationship Id="rId21" Type="http://schemas.openxmlformats.org/officeDocument/2006/relationships/hyperlink" Target="https://robiz.net/typec16pin" TargetMode="External"/><Relationship Id="rId22" Type="http://schemas.openxmlformats.org/officeDocument/2006/relationships/hyperlink" Target="https://www.direnc.net/22r-805-18-smd-direnc-11710" TargetMode="External"/><Relationship Id="rId23" Type="http://schemas.openxmlformats.org/officeDocument/2006/relationships/hyperlink" Target="https://www.direnc.net/100k-14w-direnc" TargetMode="External"/><Relationship Id="rId24" Type="http://schemas.openxmlformats.org/officeDocument/2006/relationships/hyperlink" Target="https://www.direnc.net/100k-14w-metalfilm-direnc-paketi-100-adet" TargetMode="External"/><Relationship Id="rId25" Type="http://schemas.openxmlformats.org/officeDocument/2006/relationships/hyperlink" Target="https://www.direnc.net/100k-805-kilif-direnc-100-adet" TargetMode="External"/><Relationship Id="rId26" Type="http://schemas.openxmlformats.org/officeDocument/2006/relationships/hyperlink" Target="https://www.direnc.net/10k-805-kilif-direnc-100-adet" TargetMode="External"/><Relationship Id="rId27" Type="http://schemas.openxmlformats.org/officeDocument/2006/relationships/hyperlink" Target="https://www.direnc.net/330k-14w-direnc" TargetMode="External"/><Relationship Id="rId28" Type="http://schemas.openxmlformats.org/officeDocument/2006/relationships/hyperlink" Target="https://www.direnc.net/330k-14w-metalfilm-direnc-paketi-100-adet" TargetMode="External"/><Relationship Id="rId29" Type="http://schemas.openxmlformats.org/officeDocument/2006/relationships/hyperlink" Target="https://www.direnc.net/330r-14w-direnc" TargetMode="External"/><Relationship Id="rId30" Type="http://schemas.openxmlformats.org/officeDocument/2006/relationships/hyperlink" Target="https://www.direnc.net/330r-14w-metalfilm-direnc-paketi-100-adet" TargetMode="External"/><Relationship Id="rId31" Type="http://schemas.openxmlformats.org/officeDocument/2006/relationships/hyperlink" Target="https://www.direnc.net/330r-805-kilif-direnc-100-adet" TargetMode="External"/><Relationship Id="rId32" Type="http://schemas.openxmlformats.org/officeDocument/2006/relationships/hyperlink" Target="https://www.direnc.net/47k-14w-direnc-1" TargetMode="External"/><Relationship Id="rId33" Type="http://schemas.openxmlformats.org/officeDocument/2006/relationships/hyperlink" Target="https://www.direnc.net/47k-14w-metalfilm-direnc-paketi-100-adet-1" TargetMode="External"/><Relationship Id="rId34" Type="http://schemas.openxmlformats.org/officeDocument/2006/relationships/hyperlink" Target="https://www.direnc.net/47k-805-kilif-direnc-100-adet-1" TargetMode="External"/><Relationship Id="rId35" Type="http://schemas.openxmlformats.org/officeDocument/2006/relationships/hyperlink" Target="https://www.direnc.net/47k-14w-direnc" TargetMode="External"/><Relationship Id="rId36" Type="http://schemas.openxmlformats.org/officeDocument/2006/relationships/hyperlink" Target="https://www.direnc.net/47k-14w-metalfilm-direnc-paketi-100-adet" TargetMode="External"/><Relationship Id="rId37" Type="http://schemas.openxmlformats.org/officeDocument/2006/relationships/hyperlink" Target="https://www.direnc.net/47k-805-kilif-direnc-100-adet" TargetMode="External"/><Relationship Id="rId38" Type="http://schemas.openxmlformats.org/officeDocument/2006/relationships/hyperlink" Target="https://robiz.net/320pcscapacitorset" TargetMode="External"/><Relationship Id="rId39" Type="http://schemas.openxmlformats.org/officeDocument/2006/relationships/hyperlink" Target="https://www.direnc.net/100nf50v-805-kilif" TargetMode="External"/><Relationship Id="rId40" Type="http://schemas.openxmlformats.org/officeDocument/2006/relationships/hyperlink" Target="https://www.direnc.net/47uf-50v-10-x5r-805-smd-kondansator-13544" TargetMode="External"/><Relationship Id="rId41" Type="http://schemas.openxmlformats.org/officeDocument/2006/relationships/hyperlink" Target="https://www.direnc.net/cd4066be-dip14-multiplexer-entegresi" TargetMode="External"/><Relationship Id="rId42" Type="http://schemas.openxmlformats.org/officeDocument/2006/relationships/hyperlink" Target="https://www.direnc.net/ss24-ht-smd-40v-2a-schottky-diyot" TargetMode="External"/><Relationship Id="rId43" Type="http://schemas.openxmlformats.org/officeDocument/2006/relationships/hyperlink" Target="https://www.direnc.net/805-kilif-smd-led-kirmizi" TargetMode="External"/><Relationship Id="rId44" Type="http://schemas.openxmlformats.org/officeDocument/2006/relationships/hyperlink" Target="https://www.direnc.net/mavi-805-led" TargetMode="External"/><Relationship Id="rId45" Type="http://schemas.openxmlformats.org/officeDocument/2006/relationships/hyperlink" Target="https://www.direnc.net/yesil-805-led" TargetMode="External"/><Relationship Id="rId46" Type="http://schemas.openxmlformats.org/officeDocument/2006/relationships/hyperlink" Target="https://www.direnc.net/6x6-43mm-tach-buton-2-bacak" TargetMode="External"/><Relationship Id="rId47" Type="http://schemas.openxmlformats.org/officeDocument/2006/relationships/hyperlink" Target="https://www.direnc.net/dc162-micro-switch" TargetMode="External"/><Relationship Id="rId48" Type="http://schemas.openxmlformats.org/officeDocument/2006/relationships/hyperlink" Target="https://www.direnc.net/dc171-micro-switch" TargetMode="External"/><Relationship Id="rId49" Type="http://schemas.openxmlformats.org/officeDocument/2006/relationships/hyperlink" Target="https://www.direnc.net/mini-tip-smt-tact-switch-buton" TargetMode="External"/><Relationship Id="rId50" Type="http://schemas.openxmlformats.org/officeDocument/2006/relationships/hyperlink" Target="https://www.direnc.net/220uh-58x52-600ma-smd-guc-bobini-fpi0502" TargetMode="External"/><Relationship Id="rId51" Type="http://schemas.openxmlformats.org/officeDocument/2006/relationships/hyperlink" Target="https://www.robotistan.com/htf-y2-metal-havya-standi" TargetMode="External"/><Relationship Id="rId52" Type="http://schemas.openxmlformats.org/officeDocument/2006/relationships/hyperlink" Target="https://www.robotistan.com/sz308-dijital-multimetre-kirmizi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direnc.net/100k-805-kilif-direnc-100-adet" TargetMode="External"/><Relationship Id="rId2" Type="http://schemas.openxmlformats.org/officeDocument/2006/relationships/hyperlink" Target="https://www.direnc.net/47k-805-kilif-direnc-100-adet" TargetMode="External"/><Relationship Id="rId3" Type="http://schemas.openxmlformats.org/officeDocument/2006/relationships/hyperlink" Target="https://www.direnc.net/10k-805-kilif-direnc-100-adet" TargetMode="External"/><Relationship Id="rId4" Type="http://schemas.openxmlformats.org/officeDocument/2006/relationships/hyperlink" Target="https://www.direnc.net/47k-805-kilif-direnc-100-adet-1" TargetMode="External"/><Relationship Id="rId5" Type="http://schemas.openxmlformats.org/officeDocument/2006/relationships/hyperlink" Target="https://www.direnc.net/330r-805-kilif-direnc-100-adet" TargetMode="External"/><Relationship Id="rId6" Type="http://schemas.openxmlformats.org/officeDocument/2006/relationships/hyperlink" Target="https://www.direnc.net/35mm-stereo-jack-disi--sase-tip" TargetMode="External"/><Relationship Id="rId7" Type="http://schemas.openxmlformats.org/officeDocument/2006/relationships/hyperlink" Target="https://www.direnc.net/40-adet-erkek-erkek-jumper-20cm" TargetMode="External"/><Relationship Id="rId8" Type="http://schemas.openxmlformats.org/officeDocument/2006/relationships/hyperlink" Target="https://www.direnc.net/100nf50v-805-kilif" TargetMode="External"/><Relationship Id="rId9" Type="http://schemas.openxmlformats.org/officeDocument/2006/relationships/hyperlink" Target="https://www.direnc.net/yesil-805-led" TargetMode="External"/><Relationship Id="rId10" Type="http://schemas.openxmlformats.org/officeDocument/2006/relationships/hyperlink" Target="https://www.direnc.net/mavi-805-led" TargetMode="External"/><Relationship Id="rId11" Type="http://schemas.openxmlformats.org/officeDocument/2006/relationships/hyperlink" Target="https://www.direnc.net/805-kilif-smd-led-kirmizi" TargetMode="External"/><Relationship Id="rId12" Type="http://schemas.openxmlformats.org/officeDocument/2006/relationships/hyperlink" Target="https://www.direnc.net/22r-805-18-smd-direnc-11710" TargetMode="External"/><Relationship Id="rId13" Type="http://schemas.openxmlformats.org/officeDocument/2006/relationships/hyperlink" Target="https://www.direnc.net/ss24-ht-smd-40v-2a-schottky-diyot" TargetMode="External"/><Relationship Id="rId14" Type="http://schemas.openxmlformats.org/officeDocument/2006/relationships/hyperlink" Target="https://www.direnc.net/47uf-50v-10-x5r-805-smd-kondansator-13544" TargetMode="External"/><Relationship Id="rId15" Type="http://schemas.openxmlformats.org/officeDocument/2006/relationships/hyperlink" Target="https://www.direnc.net/ams1117-smd-3v3-dogrusal-voltaj-regulatoru" TargetMode="External"/><Relationship Id="rId16" Type="http://schemas.openxmlformats.org/officeDocument/2006/relationships/hyperlink" Target="https://www.direnc.net/mini-tip-smt-tact-switch-buton" TargetMode="External"/><Relationship Id="rId17" Type="http://schemas.openxmlformats.org/officeDocument/2006/relationships/hyperlink" Target="https://www.direnc.net/220uh-58x52-600ma-smd-guc-bobini-fpi0502" TargetMode="External"/><Relationship Id="rId18" Type="http://schemas.openxmlformats.org/officeDocument/2006/relationships/hyperlink" Target="https://www.direnc.net/tp4056-42-smd-sop8-kontrol-entegresi" TargetMode="External"/><Relationship Id="rId19" Type="http://schemas.openxmlformats.org/officeDocument/2006/relationships/hyperlink" Target="https://www.direnc.net/13-inc-4-pin-oled-ekran-modulu-ssd1306-i2c-beyaz" TargetMode="External"/><Relationship Id="rId20" Type="http://schemas.openxmlformats.org/officeDocument/2006/relationships/hyperlink" Target="https://www.direnc.net/dc171-micro-switch" TargetMode="External"/><Relationship Id="rId21" Type="http://schemas.openxmlformats.org/officeDocument/2006/relationships/hyperlink" Target="https://www.direnc.net/dc162-micro-switch" TargetMode="External"/><Relationship Id="rId22" Type="http://schemas.openxmlformats.org/officeDocument/2006/relationships/hyperlink" Target="https://www.direnc.net/330k-14w-direnc" TargetMode="External"/><Relationship Id="rId23" Type="http://schemas.openxmlformats.org/officeDocument/2006/relationships/hyperlink" Target="https://www.direnc.net/100k-14w-direnc" TargetMode="External"/><Relationship Id="rId24" Type="http://schemas.openxmlformats.org/officeDocument/2006/relationships/hyperlink" Target="https://www.direnc.net/47k-14w-direnc" TargetMode="External"/><Relationship Id="rId25" Type="http://schemas.openxmlformats.org/officeDocument/2006/relationships/hyperlink" Target="https://www.direnc.net/47k-14w-direnc-1" TargetMode="External"/><Relationship Id="rId26" Type="http://schemas.openxmlformats.org/officeDocument/2006/relationships/hyperlink" Target="https://www.direnc.net/330r-14w-direnc" TargetMode="External"/><Relationship Id="rId27" Type="http://schemas.openxmlformats.org/officeDocument/2006/relationships/hyperlink" Target="https://www.direnc.net/330k-14w-metalfilm-direnc-paketi-100-adet" TargetMode="External"/><Relationship Id="rId28" Type="http://schemas.openxmlformats.org/officeDocument/2006/relationships/hyperlink" Target="https://www.direnc.net/100k-14w-metalfilm-direnc-paketi-100-adet" TargetMode="External"/><Relationship Id="rId29" Type="http://schemas.openxmlformats.org/officeDocument/2006/relationships/hyperlink" Target="https://www.direnc.net/47k-14w-metalfilm-direnc-paketi-100-adet" TargetMode="External"/><Relationship Id="rId30" Type="http://schemas.openxmlformats.org/officeDocument/2006/relationships/hyperlink" Target="https://www.direnc.net/47k-14w-metalfilm-direnc-paketi-100-adet-1" TargetMode="External"/><Relationship Id="rId31" Type="http://schemas.openxmlformats.org/officeDocument/2006/relationships/hyperlink" Target="https://www.direnc.net/330r-14w-metalfilm-direnc-paketi-100-adet" TargetMode="External"/><Relationship Id="rId32" Type="http://schemas.openxmlformats.org/officeDocument/2006/relationships/hyperlink" Target="https://www.direnc.net/6x6-43mm-tach-buton-2-bacak" TargetMode="External"/><Relationship Id="rId33" Type="http://schemas.openxmlformats.org/officeDocument/2006/relationships/hyperlink" Target="https://www.direnc.net/cd4066be-dip14-multiplexer-entegresi" TargetMode="External"/><Relationship Id="rId34" Type="http://schemas.openxmlformats.org/officeDocument/2006/relationships/hyperlink" Target="https://robiz.net/typec16pin" TargetMode="External"/><Relationship Id="rId35" Type="http://schemas.openxmlformats.org/officeDocument/2006/relationships/hyperlink" Target="https://robiz.net/pcm5102" TargetMode="External"/><Relationship Id="rId36" Type="http://schemas.openxmlformats.org/officeDocument/2006/relationships/hyperlink" Target="https://robiz.net/microsdsocket" TargetMode="External"/><Relationship Id="rId37" Type="http://schemas.openxmlformats.org/officeDocument/2006/relationships/hyperlink" Target="https://robiz.net/320pcscapacitorset" TargetMode="External"/><Relationship Id="rId38" Type="http://schemas.openxmlformats.org/officeDocument/2006/relationships/hyperlink" Target="https://robiz.net/esp32wroom32e" TargetMode="External"/><Relationship Id="rId39" Type="http://schemas.openxmlformats.org/officeDocument/2006/relationships/hyperlink" Target="https://robiz.net/mt3608typec" TargetMode="External"/><Relationship Id="rId40" Type="http://schemas.openxmlformats.org/officeDocument/2006/relationships/hyperlink" Target="https://www.robotistan.com/12mm-aktif-buzzer-devreli-buzzer" TargetMode="External"/><Relationship Id="rId41" Type="http://schemas.openxmlformats.org/officeDocument/2006/relationships/hyperlink" Target="https://www.robotistan.com/sz308-dijital-multimetre-kirmizi" TargetMode="External"/><Relationship Id="rId42" Type="http://schemas.openxmlformats.org/officeDocument/2006/relationships/hyperlink" Target="https://www.robotistan.com/28-inc-arduino-dokunmatik-ekran-shield-240320" TargetMode="External"/><Relationship Id="rId43" Type="http://schemas.openxmlformats.org/officeDocument/2006/relationships/hyperlink" Target="https://www.robotistan.com/mikro-usb-kablo-1" TargetMode="External"/><Relationship Id="rId44" Type="http://schemas.openxmlformats.org/officeDocument/2006/relationships/hyperlink" Target="https://www.robotistan.com/tp4056-type-c-1s-37v-lipo-li-ion-pil-sarj-devresi" TargetMode="External"/><Relationship Id="rId45" Type="http://schemas.openxmlformats.org/officeDocument/2006/relationships/hyperlink" Target="https://www.robotistan.com/mikro-sd-kart-modulu-1" TargetMode="External"/><Relationship Id="rId46" Type="http://schemas.openxmlformats.org/officeDocument/2006/relationships/hyperlink" Target="https://www.robotistan.com/esp32-esp-32s-wifi-bluetooth-dual-mode-gelistirme-karti" TargetMode="External"/><Relationship Id="rId47" Type="http://schemas.openxmlformats.org/officeDocument/2006/relationships/hyperlink" Target="https://www.robotistan.com/40-pin-ayrilabilen-disi-erkek-m-f-jumper-kablo-200-mm" TargetMode="External"/><Relationship Id="rId48" Type="http://schemas.openxmlformats.org/officeDocument/2006/relationships/hyperlink" Target="https://www.robotistan.com/40-pin-ayrilabilen-erkek-erkek-m-m-jumper-kablo-200-mm" TargetMode="External"/><Relationship Id="rId49" Type="http://schemas.openxmlformats.org/officeDocument/2006/relationships/hyperlink" Target="https://www.robotistan.com/40-pin-ayrilabilen-disi-disi-f-f-jumper-kablo-200-mm" TargetMode="External"/><Relationship Id="rId50" Type="http://schemas.openxmlformats.org/officeDocument/2006/relationships/hyperlink" Target="https://www.robotistan.com/htf-y2-metal-havya-standi" TargetMode="External"/><Relationship Id="rId51" Type="http://schemas.openxmlformats.org/officeDocument/2006/relationships/hyperlink" Target="https://www.trendyol.com/sertec/lipo-polimer-306090-lityum-3-7v-3000mah-polimer-pil-p-681716219" TargetMode="External"/><Relationship Id="rId52" Type="http://schemas.openxmlformats.org/officeDocument/2006/relationships/hyperlink" Target="https://www.trendyol.com/motorobit/jst-ph-2-0-2-pin-kablolu-disi-konnektor-p-87496575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1" activePane="bottomLeft" state="frozen"/>
      <selection pane="topLeft" activeCell="A1" activeCellId="0" sqref="A1"/>
      <selection pane="bottomLeft" activeCell="G12" activeCellId="0" sqref="G1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70"/>
    <col collapsed="false" customWidth="true" hidden="false" outlineLevel="0" max="2" min="2" style="1" width="8"/>
    <col collapsed="false" customWidth="true" hidden="false" outlineLevel="0" max="4" min="3" style="1" width="1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5" hidden="false" customHeight="false" outlineLevel="0" collapsed="false">
      <c r="A2" s="3" t="s">
        <v>4</v>
      </c>
      <c r="B2" s="4"/>
      <c r="C2" s="4"/>
      <c r="D2" s="4"/>
    </row>
    <row r="3" customFormat="false" ht="15" hidden="false" customHeight="false" outlineLevel="0" collapsed="false">
      <c r="A3" s="5" t="s">
        <v>5</v>
      </c>
      <c r="B3" s="5" t="n">
        <v>1</v>
      </c>
      <c r="C3" s="5" t="s">
        <v>6</v>
      </c>
      <c r="D3" s="6" t="s">
        <v>7</v>
      </c>
    </row>
    <row r="4" customFormat="false" ht="15" hidden="false" customHeight="false" outlineLevel="0" collapsed="false">
      <c r="A4" s="5" t="s">
        <v>8</v>
      </c>
      <c r="B4" s="5" t="n">
        <v>1</v>
      </c>
      <c r="C4" s="5" t="s">
        <v>9</v>
      </c>
      <c r="D4" s="6" t="s">
        <v>7</v>
      </c>
    </row>
    <row r="5" customFormat="false" ht="15" hidden="false" customHeight="false" outlineLevel="0" collapsed="false">
      <c r="A5" s="3" t="s">
        <v>10</v>
      </c>
      <c r="B5" s="4"/>
      <c r="C5" s="4"/>
      <c r="D5" s="4"/>
    </row>
    <row r="6" customFormat="false" ht="15" hidden="false" customHeight="false" outlineLevel="0" collapsed="false">
      <c r="A6" s="5" t="s">
        <v>11</v>
      </c>
      <c r="B6" s="5" t="n">
        <v>1</v>
      </c>
      <c r="C6" s="5" t="s">
        <v>12</v>
      </c>
      <c r="D6" s="6" t="s">
        <v>7</v>
      </c>
    </row>
    <row r="7" customFormat="false" ht="15" hidden="false" customHeight="false" outlineLevel="0" collapsed="false">
      <c r="A7" s="5" t="s">
        <v>13</v>
      </c>
      <c r="B7" s="5" t="n">
        <v>1</v>
      </c>
      <c r="C7" s="5" t="s">
        <v>6</v>
      </c>
      <c r="D7" s="6" t="s">
        <v>7</v>
      </c>
    </row>
    <row r="8" customFormat="false" ht="15" hidden="false" customHeight="false" outlineLevel="0" collapsed="false">
      <c r="A8" s="3" t="s">
        <v>14</v>
      </c>
      <c r="B8" s="4"/>
      <c r="C8" s="4"/>
      <c r="D8" s="4"/>
    </row>
    <row r="9" customFormat="false" ht="15" hidden="false" customHeight="false" outlineLevel="0" collapsed="false">
      <c r="A9" s="5" t="s">
        <v>15</v>
      </c>
      <c r="B9" s="5" t="n">
        <v>1</v>
      </c>
      <c r="C9" s="5" t="s">
        <v>6</v>
      </c>
      <c r="D9" s="6" t="s">
        <v>7</v>
      </c>
    </row>
    <row r="10" customFormat="false" ht="15" hidden="false" customHeight="false" outlineLevel="0" collapsed="false">
      <c r="A10" s="5" t="s">
        <v>16</v>
      </c>
      <c r="B10" s="5" t="n">
        <v>1</v>
      </c>
      <c r="C10" s="5" t="s">
        <v>9</v>
      </c>
      <c r="D10" s="6" t="s">
        <v>7</v>
      </c>
    </row>
    <row r="11" customFormat="false" ht="15" hidden="false" customHeight="false" outlineLevel="0" collapsed="false">
      <c r="A11" s="3" t="s">
        <v>17</v>
      </c>
      <c r="B11" s="4"/>
      <c r="C11" s="4"/>
      <c r="D11" s="4"/>
    </row>
    <row r="12" customFormat="false" ht="15" hidden="false" customHeight="false" outlineLevel="0" collapsed="false">
      <c r="A12" s="5" t="s">
        <v>18</v>
      </c>
      <c r="B12" s="5" t="n">
        <v>2</v>
      </c>
      <c r="C12" s="5" t="s">
        <v>12</v>
      </c>
      <c r="D12" s="6" t="s">
        <v>7</v>
      </c>
    </row>
    <row r="13" customFormat="false" ht="15" hidden="false" customHeight="false" outlineLevel="0" collapsed="false">
      <c r="A13" s="5" t="s">
        <v>19</v>
      </c>
      <c r="B13" s="5" t="n">
        <v>1</v>
      </c>
      <c r="C13" s="5" t="s">
        <v>20</v>
      </c>
      <c r="D13" s="6" t="s">
        <v>7</v>
      </c>
    </row>
    <row r="14" customFormat="false" ht="15" hidden="false" customHeight="false" outlineLevel="0" collapsed="false">
      <c r="A14" s="5" t="s">
        <v>21</v>
      </c>
      <c r="B14" s="5" t="n">
        <v>1</v>
      </c>
      <c r="C14" s="5" t="s">
        <v>20</v>
      </c>
      <c r="D14" s="6" t="s">
        <v>7</v>
      </c>
    </row>
    <row r="15" customFormat="false" ht="15" hidden="false" customHeight="false" outlineLevel="0" collapsed="false">
      <c r="A15" s="5" t="s">
        <v>22</v>
      </c>
      <c r="B15" s="5" t="n">
        <v>1</v>
      </c>
      <c r="C15" s="5" t="s">
        <v>9</v>
      </c>
      <c r="D15" s="6" t="s">
        <v>7</v>
      </c>
    </row>
    <row r="16" customFormat="false" ht="15" hidden="false" customHeight="false" outlineLevel="0" collapsed="false">
      <c r="A16" s="5" t="s">
        <v>23</v>
      </c>
      <c r="B16" s="5" t="n">
        <v>1</v>
      </c>
      <c r="C16" s="5" t="s">
        <v>6</v>
      </c>
      <c r="D16" s="6" t="s">
        <v>7</v>
      </c>
    </row>
    <row r="17" customFormat="false" ht="15" hidden="false" customHeight="false" outlineLevel="0" collapsed="false">
      <c r="A17" s="5" t="s">
        <v>24</v>
      </c>
      <c r="B17" s="5" t="n">
        <v>2</v>
      </c>
      <c r="C17" s="5" t="s">
        <v>12</v>
      </c>
      <c r="D17" s="6" t="s">
        <v>7</v>
      </c>
    </row>
    <row r="18" customFormat="false" ht="15" hidden="false" customHeight="false" outlineLevel="0" collapsed="false">
      <c r="A18" s="3" t="s">
        <v>25</v>
      </c>
      <c r="B18" s="4"/>
      <c r="C18" s="4"/>
      <c r="D18" s="4"/>
    </row>
    <row r="19" customFormat="false" ht="15" hidden="false" customHeight="false" outlineLevel="0" collapsed="false">
      <c r="A19" s="5" t="s">
        <v>26</v>
      </c>
      <c r="B19" s="5" t="n">
        <v>1</v>
      </c>
      <c r="C19" s="5" t="s">
        <v>9</v>
      </c>
      <c r="D19" s="6" t="s">
        <v>7</v>
      </c>
    </row>
    <row r="20" customFormat="false" ht="15" hidden="false" customHeight="false" outlineLevel="0" collapsed="false">
      <c r="A20" s="5" t="s">
        <v>27</v>
      </c>
      <c r="B20" s="5" t="n">
        <v>1</v>
      </c>
      <c r="C20" s="5" t="s">
        <v>6</v>
      </c>
      <c r="D20" s="6" t="s">
        <v>7</v>
      </c>
    </row>
    <row r="21" customFormat="false" ht="15" hidden="false" customHeight="false" outlineLevel="0" collapsed="false">
      <c r="A21" s="3" t="s">
        <v>28</v>
      </c>
      <c r="B21" s="4"/>
      <c r="C21" s="4"/>
      <c r="D21" s="4"/>
    </row>
    <row r="22" customFormat="false" ht="15" hidden="false" customHeight="false" outlineLevel="0" collapsed="false">
      <c r="A22" s="5" t="s">
        <v>29</v>
      </c>
      <c r="B22" s="5" t="n">
        <v>1</v>
      </c>
      <c r="C22" s="5" t="s">
        <v>12</v>
      </c>
      <c r="D22" s="6" t="s">
        <v>7</v>
      </c>
    </row>
    <row r="23" customFormat="false" ht="15" hidden="false" customHeight="false" outlineLevel="0" collapsed="false">
      <c r="A23" s="5" t="s">
        <v>30</v>
      </c>
      <c r="B23" s="5" t="n">
        <v>1</v>
      </c>
      <c r="C23" s="5" t="s">
        <v>12</v>
      </c>
      <c r="D23" s="6" t="s">
        <v>7</v>
      </c>
    </row>
    <row r="24" customFormat="false" ht="15" hidden="false" customHeight="false" outlineLevel="0" collapsed="false">
      <c r="A24" s="5" t="s">
        <v>31</v>
      </c>
      <c r="B24" s="5" t="n">
        <v>2</v>
      </c>
      <c r="C24" s="5" t="s">
        <v>6</v>
      </c>
      <c r="D24" s="6" t="s">
        <v>7</v>
      </c>
    </row>
    <row r="25" customFormat="false" ht="15" hidden="false" customHeight="false" outlineLevel="0" collapsed="false">
      <c r="A25" s="5" t="s">
        <v>32</v>
      </c>
      <c r="B25" s="5" t="n">
        <v>2</v>
      </c>
      <c r="C25" s="5" t="s">
        <v>6</v>
      </c>
      <c r="D25" s="6" t="s">
        <v>7</v>
      </c>
    </row>
    <row r="26" customFormat="false" ht="15" hidden="false" customHeight="false" outlineLevel="0" collapsed="false">
      <c r="A26" s="5" t="s">
        <v>33</v>
      </c>
      <c r="B26" s="5" t="n">
        <v>2</v>
      </c>
      <c r="C26" s="5" t="s">
        <v>6</v>
      </c>
      <c r="D26" s="6" t="s">
        <v>7</v>
      </c>
    </row>
    <row r="27" customFormat="false" ht="15" hidden="false" customHeight="false" outlineLevel="0" collapsed="false">
      <c r="A27" s="5" t="s">
        <v>34</v>
      </c>
      <c r="B27" s="5" t="n">
        <v>1</v>
      </c>
      <c r="C27" s="5" t="s">
        <v>6</v>
      </c>
      <c r="D27" s="6" t="s">
        <v>7</v>
      </c>
    </row>
    <row r="28" customFormat="false" ht="15" hidden="false" customHeight="false" outlineLevel="0" collapsed="false">
      <c r="A28" s="5" t="s">
        <v>35</v>
      </c>
      <c r="B28" s="5" t="n">
        <v>1</v>
      </c>
      <c r="C28" s="5" t="s">
        <v>9</v>
      </c>
      <c r="D28" s="6" t="s">
        <v>7</v>
      </c>
    </row>
    <row r="29" customFormat="false" ht="15" hidden="false" customHeight="false" outlineLevel="0" collapsed="false">
      <c r="A29" s="3" t="s">
        <v>36</v>
      </c>
      <c r="B29" s="4"/>
      <c r="C29" s="4"/>
      <c r="D29" s="4"/>
    </row>
    <row r="30" customFormat="false" ht="15" hidden="false" customHeight="false" outlineLevel="0" collapsed="false">
      <c r="A30" s="5" t="s">
        <v>37</v>
      </c>
      <c r="B30" s="5" t="n">
        <v>50</v>
      </c>
      <c r="C30" s="5" t="s">
        <v>12</v>
      </c>
      <c r="D30" s="6" t="s">
        <v>7</v>
      </c>
    </row>
    <row r="31" customFormat="false" ht="15" hidden="false" customHeight="false" outlineLevel="0" collapsed="false">
      <c r="A31" s="5" t="s">
        <v>38</v>
      </c>
      <c r="B31" s="5" t="n">
        <v>50</v>
      </c>
      <c r="C31" s="5" t="s">
        <v>12</v>
      </c>
      <c r="D31" s="6" t="s">
        <v>7</v>
      </c>
    </row>
    <row r="32" customFormat="false" ht="15" hidden="false" customHeight="false" outlineLevel="0" collapsed="false">
      <c r="A32" s="5" t="s">
        <v>39</v>
      </c>
      <c r="B32" s="5" t="n">
        <v>50</v>
      </c>
      <c r="C32" s="5" t="s">
        <v>12</v>
      </c>
      <c r="D32" s="6" t="s">
        <v>7</v>
      </c>
    </row>
    <row r="33" customFormat="false" ht="15" hidden="false" customHeight="false" outlineLevel="0" collapsed="false">
      <c r="A33" s="5" t="s">
        <v>40</v>
      </c>
      <c r="B33" s="5" t="n">
        <v>50</v>
      </c>
      <c r="C33" s="5" t="s">
        <v>12</v>
      </c>
      <c r="D33" s="6" t="s">
        <v>7</v>
      </c>
    </row>
    <row r="34" customFormat="false" ht="15" hidden="false" customHeight="false" outlineLevel="0" collapsed="false">
      <c r="A34" s="5" t="s">
        <v>41</v>
      </c>
      <c r="B34" s="5" t="n">
        <v>50</v>
      </c>
      <c r="C34" s="5" t="s">
        <v>12</v>
      </c>
      <c r="D34" s="6" t="s">
        <v>7</v>
      </c>
    </row>
    <row r="35" customFormat="false" ht="15" hidden="false" customHeight="false" outlineLevel="0" collapsed="false">
      <c r="A35" s="5" t="s">
        <v>42</v>
      </c>
      <c r="B35" s="5" t="n">
        <v>50</v>
      </c>
      <c r="C35" s="5" t="s">
        <v>12</v>
      </c>
      <c r="D35" s="6" t="s">
        <v>7</v>
      </c>
    </row>
    <row r="36" customFormat="false" ht="15" hidden="false" customHeight="false" outlineLevel="0" collapsed="false">
      <c r="A36" s="5" t="s">
        <v>43</v>
      </c>
      <c r="B36" s="5" t="n">
        <v>50</v>
      </c>
      <c r="C36" s="5" t="s">
        <v>12</v>
      </c>
      <c r="D36" s="6" t="s">
        <v>7</v>
      </c>
    </row>
    <row r="37" customFormat="false" ht="15" hidden="false" customHeight="false" outlineLevel="0" collapsed="false">
      <c r="A37" s="5" t="s">
        <v>44</v>
      </c>
      <c r="B37" s="5" t="n">
        <v>50</v>
      </c>
      <c r="C37" s="5" t="s">
        <v>12</v>
      </c>
      <c r="D37" s="6" t="s">
        <v>7</v>
      </c>
    </row>
    <row r="38" customFormat="false" ht="15" hidden="false" customHeight="false" outlineLevel="0" collapsed="false">
      <c r="A38" s="5" t="s">
        <v>45</v>
      </c>
      <c r="B38" s="5" t="n">
        <v>50</v>
      </c>
      <c r="C38" s="5" t="s">
        <v>12</v>
      </c>
      <c r="D38" s="6" t="s">
        <v>7</v>
      </c>
    </row>
    <row r="39" customFormat="false" ht="15" hidden="false" customHeight="false" outlineLevel="0" collapsed="false">
      <c r="A39" s="5" t="s">
        <v>46</v>
      </c>
      <c r="B39" s="5" t="n">
        <v>50</v>
      </c>
      <c r="C39" s="5" t="s">
        <v>12</v>
      </c>
      <c r="D39" s="6" t="s">
        <v>7</v>
      </c>
    </row>
    <row r="40" customFormat="false" ht="15" hidden="false" customHeight="false" outlineLevel="0" collapsed="false">
      <c r="A40" s="5" t="s">
        <v>47</v>
      </c>
      <c r="B40" s="5" t="n">
        <v>50</v>
      </c>
      <c r="C40" s="5" t="s">
        <v>12</v>
      </c>
      <c r="D40" s="6" t="s">
        <v>7</v>
      </c>
    </row>
    <row r="41" customFormat="false" ht="15" hidden="false" customHeight="false" outlineLevel="0" collapsed="false">
      <c r="A41" s="5" t="s">
        <v>48</v>
      </c>
      <c r="B41" s="5" t="n">
        <v>50</v>
      </c>
      <c r="C41" s="5" t="s">
        <v>12</v>
      </c>
      <c r="D41" s="6" t="s">
        <v>7</v>
      </c>
    </row>
    <row r="42" customFormat="false" ht="15" hidden="false" customHeight="false" outlineLevel="0" collapsed="false">
      <c r="A42" s="5" t="s">
        <v>49</v>
      </c>
      <c r="B42" s="5" t="n">
        <v>50</v>
      </c>
      <c r="C42" s="5" t="s">
        <v>12</v>
      </c>
      <c r="D42" s="6" t="s">
        <v>7</v>
      </c>
    </row>
    <row r="43" customFormat="false" ht="15" hidden="false" customHeight="false" outlineLevel="0" collapsed="false">
      <c r="A43" s="5" t="s">
        <v>50</v>
      </c>
      <c r="B43" s="5" t="n">
        <v>50</v>
      </c>
      <c r="C43" s="5" t="s">
        <v>12</v>
      </c>
      <c r="D43" s="6" t="s">
        <v>7</v>
      </c>
    </row>
    <row r="44" customFormat="false" ht="15" hidden="false" customHeight="false" outlineLevel="0" collapsed="false">
      <c r="A44" s="5" t="s">
        <v>51</v>
      </c>
      <c r="B44" s="5" t="n">
        <v>50</v>
      </c>
      <c r="C44" s="5" t="s">
        <v>12</v>
      </c>
      <c r="D44" s="6" t="s">
        <v>7</v>
      </c>
    </row>
    <row r="45" customFormat="false" ht="15" hidden="false" customHeight="false" outlineLevel="0" collapsed="false">
      <c r="A45" s="5" t="s">
        <v>52</v>
      </c>
      <c r="B45" s="5" t="n">
        <v>50</v>
      </c>
      <c r="C45" s="5" t="s">
        <v>12</v>
      </c>
      <c r="D45" s="6" t="s">
        <v>7</v>
      </c>
    </row>
    <row r="46" customFormat="false" ht="15" hidden="false" customHeight="false" outlineLevel="0" collapsed="false">
      <c r="A46" s="3" t="s">
        <v>53</v>
      </c>
      <c r="B46" s="4"/>
      <c r="C46" s="4"/>
      <c r="D46" s="4"/>
    </row>
    <row r="47" customFormat="false" ht="15" hidden="false" customHeight="false" outlineLevel="0" collapsed="false">
      <c r="A47" s="5" t="s">
        <v>54</v>
      </c>
      <c r="B47" s="5" t="n">
        <v>1</v>
      </c>
      <c r="C47" s="5" t="s">
        <v>9</v>
      </c>
      <c r="D47" s="6" t="s">
        <v>7</v>
      </c>
    </row>
    <row r="48" customFormat="false" ht="15" hidden="false" customHeight="false" outlineLevel="0" collapsed="false">
      <c r="A48" s="5" t="s">
        <v>55</v>
      </c>
      <c r="B48" s="5" t="n">
        <v>20</v>
      </c>
      <c r="C48" s="5" t="s">
        <v>12</v>
      </c>
      <c r="D48" s="6" t="s">
        <v>7</v>
      </c>
    </row>
    <row r="49" customFormat="false" ht="15" hidden="false" customHeight="false" outlineLevel="0" collapsed="false">
      <c r="A49" s="5" t="s">
        <v>56</v>
      </c>
      <c r="B49" s="5" t="n">
        <v>14</v>
      </c>
      <c r="C49" s="5" t="s">
        <v>12</v>
      </c>
      <c r="D49" s="6" t="s">
        <v>7</v>
      </c>
    </row>
    <row r="50" customFormat="false" ht="15" hidden="false" customHeight="false" outlineLevel="0" collapsed="false">
      <c r="A50" s="3" t="s">
        <v>57</v>
      </c>
      <c r="B50" s="4"/>
      <c r="C50" s="4"/>
      <c r="D50" s="4"/>
    </row>
    <row r="51" customFormat="false" ht="15" hidden="false" customHeight="false" outlineLevel="0" collapsed="false">
      <c r="A51" s="5" t="s">
        <v>58</v>
      </c>
      <c r="B51" s="5" t="n">
        <v>2</v>
      </c>
      <c r="C51" s="5" t="s">
        <v>12</v>
      </c>
      <c r="D51" s="6" t="s">
        <v>7</v>
      </c>
    </row>
    <row r="52" customFormat="false" ht="15" hidden="false" customHeight="false" outlineLevel="0" collapsed="false">
      <c r="A52" s="5" t="s">
        <v>59</v>
      </c>
      <c r="B52" s="5" t="n">
        <v>2</v>
      </c>
      <c r="C52" s="5" t="s">
        <v>12</v>
      </c>
      <c r="D52" s="6" t="s">
        <v>7</v>
      </c>
    </row>
    <row r="53" customFormat="false" ht="15" hidden="false" customHeight="false" outlineLevel="0" collapsed="false">
      <c r="A53" s="3" t="s">
        <v>60</v>
      </c>
      <c r="B53" s="4"/>
      <c r="C53" s="4"/>
      <c r="D53" s="4"/>
    </row>
    <row r="54" customFormat="false" ht="15" hidden="false" customHeight="false" outlineLevel="0" collapsed="false">
      <c r="A54" s="5" t="s">
        <v>61</v>
      </c>
      <c r="B54" s="5" t="n">
        <v>5</v>
      </c>
      <c r="C54" s="5" t="s">
        <v>12</v>
      </c>
      <c r="D54" s="6" t="s">
        <v>7</v>
      </c>
    </row>
    <row r="55" customFormat="false" ht="15" hidden="false" customHeight="false" outlineLevel="0" collapsed="false">
      <c r="A55" s="5" t="s">
        <v>62</v>
      </c>
      <c r="B55" s="5" t="n">
        <v>5</v>
      </c>
      <c r="C55" s="5" t="s">
        <v>12</v>
      </c>
      <c r="D55" s="6" t="s">
        <v>7</v>
      </c>
    </row>
    <row r="56" customFormat="false" ht="15" hidden="false" customHeight="false" outlineLevel="0" collapsed="false">
      <c r="A56" s="5" t="s">
        <v>63</v>
      </c>
      <c r="B56" s="5" t="n">
        <v>5</v>
      </c>
      <c r="C56" s="5" t="s">
        <v>12</v>
      </c>
      <c r="D56" s="6" t="s">
        <v>7</v>
      </c>
    </row>
    <row r="57" customFormat="false" ht="15" hidden="false" customHeight="false" outlineLevel="0" collapsed="false">
      <c r="A57" s="3" t="s">
        <v>64</v>
      </c>
      <c r="B57" s="4"/>
      <c r="C57" s="4"/>
      <c r="D57" s="4"/>
    </row>
    <row r="58" customFormat="false" ht="15" hidden="false" customHeight="false" outlineLevel="0" collapsed="false">
      <c r="A58" s="5" t="s">
        <v>65</v>
      </c>
      <c r="B58" s="5" t="n">
        <v>10</v>
      </c>
      <c r="C58" s="5" t="s">
        <v>12</v>
      </c>
      <c r="D58" s="6" t="s">
        <v>7</v>
      </c>
    </row>
    <row r="59" customFormat="false" ht="15" hidden="false" customHeight="false" outlineLevel="0" collapsed="false">
      <c r="A59" s="5" t="s">
        <v>66</v>
      </c>
      <c r="B59" s="5" t="n">
        <v>5</v>
      </c>
      <c r="C59" s="5" t="s">
        <v>12</v>
      </c>
      <c r="D59" s="6" t="s">
        <v>7</v>
      </c>
    </row>
    <row r="60" customFormat="false" ht="15" hidden="false" customHeight="false" outlineLevel="0" collapsed="false">
      <c r="A60" s="5" t="s">
        <v>67</v>
      </c>
      <c r="B60" s="5" t="n">
        <v>1</v>
      </c>
      <c r="C60" s="5" t="s">
        <v>12</v>
      </c>
      <c r="D60" s="6" t="s">
        <v>7</v>
      </c>
    </row>
    <row r="61" customFormat="false" ht="15" hidden="false" customHeight="false" outlineLevel="0" collapsed="false">
      <c r="A61" s="5" t="s">
        <v>68</v>
      </c>
      <c r="B61" s="5" t="n">
        <v>10</v>
      </c>
      <c r="C61" s="5" t="s">
        <v>12</v>
      </c>
      <c r="D61" s="6" t="s">
        <v>7</v>
      </c>
    </row>
    <row r="62" customFormat="false" ht="15" hidden="false" customHeight="false" outlineLevel="0" collapsed="false">
      <c r="A62" s="3" t="s">
        <v>69</v>
      </c>
      <c r="B62" s="4"/>
      <c r="C62" s="4"/>
      <c r="D62" s="4"/>
    </row>
    <row r="63" customFormat="false" ht="15" hidden="false" customHeight="false" outlineLevel="0" collapsed="false">
      <c r="A63" s="5" t="s">
        <v>70</v>
      </c>
      <c r="B63" s="5" t="n">
        <v>2</v>
      </c>
      <c r="C63" s="5" t="s">
        <v>12</v>
      </c>
      <c r="D63" s="6" t="s">
        <v>7</v>
      </c>
    </row>
    <row r="64" customFormat="false" ht="15" hidden="false" customHeight="false" outlineLevel="0" collapsed="false">
      <c r="A64" s="3" t="s">
        <v>71</v>
      </c>
      <c r="B64" s="4"/>
      <c r="C64" s="4"/>
      <c r="D64" s="4"/>
    </row>
    <row r="65" customFormat="false" ht="15" hidden="false" customHeight="false" outlineLevel="0" collapsed="false">
      <c r="A65" s="5" t="s">
        <v>72</v>
      </c>
      <c r="B65" s="5" t="n">
        <v>1</v>
      </c>
      <c r="C65" s="5" t="s">
        <v>6</v>
      </c>
      <c r="D65" s="6" t="s">
        <v>7</v>
      </c>
    </row>
    <row r="66" customFormat="false" ht="15" hidden="false" customHeight="false" outlineLevel="0" collapsed="false">
      <c r="A66" s="5" t="s">
        <v>73</v>
      </c>
      <c r="B66" s="5" t="n">
        <v>1</v>
      </c>
      <c r="C66" s="5" t="s">
        <v>6</v>
      </c>
      <c r="D66" s="6" t="s">
        <v>7</v>
      </c>
    </row>
  </sheetData>
  <hyperlinks>
    <hyperlink ref="D3" r:id="rId1" display="Ürün Linki"/>
    <hyperlink ref="D4" r:id="rId2" display="Ürün Linki"/>
    <hyperlink ref="D6" r:id="rId3" display="Ürün Linki"/>
    <hyperlink ref="D7" r:id="rId4" display="Ürün Linki"/>
    <hyperlink ref="D9" r:id="rId5" display="Ürün Linki"/>
    <hyperlink ref="D10" r:id="rId6" display="Ürün Linki"/>
    <hyperlink ref="D12" r:id="rId7" display="Ürün Linki"/>
    <hyperlink ref="D13" r:id="rId8" display="Ürün Linki"/>
    <hyperlink ref="D14" r:id="rId9" display="Ürün Linki"/>
    <hyperlink ref="D15" r:id="rId10" display="Ürün Linki"/>
    <hyperlink ref="D16" r:id="rId11" display="Ürün Linki"/>
    <hyperlink ref="D17" r:id="rId12" display="Ürün Linki"/>
    <hyperlink ref="D19" r:id="rId13" display="Ürün Linki"/>
    <hyperlink ref="D20" r:id="rId14" display="Ürün Linki"/>
    <hyperlink ref="D22" r:id="rId15" display="Ürün Linki"/>
    <hyperlink ref="D23" r:id="rId16" display="Ürün Linki"/>
    <hyperlink ref="D24" r:id="rId17" display="Ürün Linki"/>
    <hyperlink ref="D25" r:id="rId18" display="Ürün Linki"/>
    <hyperlink ref="D26" r:id="rId19" display="Ürün Linki"/>
    <hyperlink ref="D27" r:id="rId20" display="Ürün Linki"/>
    <hyperlink ref="D28" r:id="rId21" display="Ürün Linki"/>
    <hyperlink ref="D30" r:id="rId22" display="Ürün Linki"/>
    <hyperlink ref="D31" r:id="rId23" display="Ürün Linki"/>
    <hyperlink ref="D32" r:id="rId24" display="Ürün Linki"/>
    <hyperlink ref="D33" r:id="rId25" display="Ürün Linki"/>
    <hyperlink ref="D34" r:id="rId26" display="Ürün Linki"/>
    <hyperlink ref="D35" r:id="rId27" display="Ürün Linki"/>
    <hyperlink ref="D36" r:id="rId28" display="Ürün Linki"/>
    <hyperlink ref="D37" r:id="rId29" display="Ürün Linki"/>
    <hyperlink ref="D38" r:id="rId30" display="Ürün Linki"/>
    <hyperlink ref="D39" r:id="rId31" display="Ürün Linki"/>
    <hyperlink ref="D40" r:id="rId32" display="Ürün Linki"/>
    <hyperlink ref="D41" r:id="rId33" display="Ürün Linki"/>
    <hyperlink ref="D42" r:id="rId34" display="Ürün Linki"/>
    <hyperlink ref="D43" r:id="rId35" display="Ürün Linki"/>
    <hyperlink ref="D44" r:id="rId36" display="Ürün Linki"/>
    <hyperlink ref="D45" r:id="rId37" display="Ürün Linki"/>
    <hyperlink ref="D47" r:id="rId38" display="Ürün Linki"/>
    <hyperlink ref="D48" r:id="rId39" display="Ürün Linki"/>
    <hyperlink ref="D49" r:id="rId40" display="Ürün Linki"/>
    <hyperlink ref="D51" r:id="rId41" display="Ürün Linki"/>
    <hyperlink ref="D52" r:id="rId42" display="Ürün Linki"/>
    <hyperlink ref="D54" r:id="rId43" display="Ürün Linki"/>
    <hyperlink ref="D55" r:id="rId44" display="Ürün Linki"/>
    <hyperlink ref="D56" r:id="rId45" display="Ürün Linki"/>
    <hyperlink ref="D58" r:id="rId46" display="Ürün Linki"/>
    <hyperlink ref="D59" r:id="rId47" display="Ürün Linki"/>
    <hyperlink ref="D60" r:id="rId48" display="Ürün Linki"/>
    <hyperlink ref="D61" r:id="rId49" display="Ürün Linki"/>
    <hyperlink ref="D63" r:id="rId50" display="Ürün Linki"/>
    <hyperlink ref="D65" r:id="rId51" display="Ürün Linki"/>
    <hyperlink ref="D66" r:id="rId52" display="Ürün Linki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2"/>
  <sheetViews>
    <sheetView showFormulas="false" showGridLines="true" showRowColHeaders="true" showZeros="true" rightToLeft="false" tabSelected="true" showOutlineSymbols="true" defaultGridColor="true" view="normal" topLeftCell="A64" colorId="64" zoomScale="100" zoomScaleNormal="100" zoomScalePageLayoutView="100" workbookViewId="0">
      <selection pane="topLeft" activeCell="F82" activeCellId="0" sqref="F8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6.78"/>
    <col collapsed="false" customWidth="true" hidden="false" outlineLevel="0" max="2" min="2" style="7" width="5.14"/>
    <col collapsed="false" customWidth="true" hidden="false" outlineLevel="0" max="3" min="3" style="7" width="22.58"/>
    <col collapsed="false" customWidth="true" hidden="false" outlineLevel="0" max="4" min="4" style="8" width="10.85"/>
  </cols>
  <sheetData>
    <row r="1" customFormat="false" ht="15" hidden="false" customHeight="false" outlineLevel="0" collapsed="false">
      <c r="A1" s="9" t="s">
        <v>74</v>
      </c>
      <c r="B1" s="9"/>
      <c r="C1" s="9"/>
      <c r="D1" s="9"/>
    </row>
    <row r="2" customFormat="false" ht="15" hidden="false" customHeight="false" outlineLevel="0" collapsed="false">
      <c r="A2" s="2" t="s">
        <v>0</v>
      </c>
      <c r="B2" s="10" t="s">
        <v>1</v>
      </c>
      <c r="C2" s="10" t="s">
        <v>75</v>
      </c>
      <c r="D2" s="2" t="s">
        <v>3</v>
      </c>
    </row>
    <row r="3" customFormat="false" ht="15" hidden="false" customHeight="false" outlineLevel="0" collapsed="false">
      <c r="A3" s="5" t="s">
        <v>40</v>
      </c>
      <c r="B3" s="11" t="n">
        <v>50</v>
      </c>
      <c r="C3" s="12" t="n">
        <v>8</v>
      </c>
      <c r="D3" s="13" t="s">
        <v>7</v>
      </c>
    </row>
    <row r="4" customFormat="false" ht="15" hidden="false" customHeight="false" outlineLevel="0" collapsed="false">
      <c r="A4" s="5" t="s">
        <v>52</v>
      </c>
      <c r="B4" s="11" t="n">
        <v>50</v>
      </c>
      <c r="C4" s="12" t="n">
        <v>8</v>
      </c>
      <c r="D4" s="13" t="s">
        <v>7</v>
      </c>
    </row>
    <row r="5" customFormat="false" ht="15" hidden="false" customHeight="false" outlineLevel="0" collapsed="false">
      <c r="A5" s="5" t="s">
        <v>41</v>
      </c>
      <c r="B5" s="11" t="n">
        <v>50</v>
      </c>
      <c r="C5" s="12" t="n">
        <v>8</v>
      </c>
      <c r="D5" s="13" t="s">
        <v>7</v>
      </c>
    </row>
    <row r="6" customFormat="false" ht="15" hidden="false" customHeight="false" outlineLevel="0" collapsed="false">
      <c r="A6" s="5" t="s">
        <v>49</v>
      </c>
      <c r="B6" s="11" t="n">
        <v>50</v>
      </c>
      <c r="C6" s="12" t="n">
        <v>8</v>
      </c>
      <c r="D6" s="13" t="s">
        <v>7</v>
      </c>
    </row>
    <row r="7" customFormat="false" ht="15" hidden="false" customHeight="false" outlineLevel="0" collapsed="false">
      <c r="A7" s="5" t="s">
        <v>46</v>
      </c>
      <c r="B7" s="11" t="n">
        <v>50</v>
      </c>
      <c r="C7" s="12" t="n">
        <v>8</v>
      </c>
      <c r="D7" s="13" t="s">
        <v>7</v>
      </c>
    </row>
    <row r="8" customFormat="false" ht="15" hidden="false" customHeight="false" outlineLevel="0" collapsed="false">
      <c r="A8" s="5" t="s">
        <v>29</v>
      </c>
      <c r="B8" s="11" t="n">
        <v>1</v>
      </c>
      <c r="C8" s="12" t="n">
        <v>8.52</v>
      </c>
      <c r="D8" s="13" t="s">
        <v>7</v>
      </c>
    </row>
    <row r="9" customFormat="false" ht="15" hidden="false" customHeight="false" outlineLevel="0" collapsed="false">
      <c r="A9" s="5" t="s">
        <v>30</v>
      </c>
      <c r="B9" s="11" t="n">
        <v>1</v>
      </c>
      <c r="C9" s="12" t="n">
        <v>38.64</v>
      </c>
      <c r="D9" s="13" t="s">
        <v>7</v>
      </c>
    </row>
    <row r="10" customFormat="false" ht="15" hidden="false" customHeight="false" outlineLevel="0" collapsed="false">
      <c r="A10" s="5" t="s">
        <v>55</v>
      </c>
      <c r="B10" s="11" t="n">
        <v>20</v>
      </c>
      <c r="C10" s="12" t="n">
        <v>8</v>
      </c>
      <c r="D10" s="13" t="s">
        <v>7</v>
      </c>
    </row>
    <row r="11" customFormat="false" ht="15" hidden="false" customHeight="false" outlineLevel="0" collapsed="false">
      <c r="A11" s="5" t="s">
        <v>63</v>
      </c>
      <c r="B11" s="11" t="n">
        <v>5</v>
      </c>
      <c r="C11" s="12" t="n">
        <v>2.85</v>
      </c>
      <c r="D11" s="13" t="s">
        <v>7</v>
      </c>
    </row>
    <row r="12" customFormat="false" ht="15" hidden="false" customHeight="false" outlineLevel="0" collapsed="false">
      <c r="A12" s="5" t="s">
        <v>62</v>
      </c>
      <c r="B12" s="11" t="n">
        <v>5</v>
      </c>
      <c r="C12" s="12" t="n">
        <v>2.85</v>
      </c>
      <c r="D12" s="13" t="s">
        <v>7</v>
      </c>
    </row>
    <row r="13" customFormat="false" ht="15" hidden="false" customHeight="false" outlineLevel="0" collapsed="false">
      <c r="A13" s="5" t="s">
        <v>61</v>
      </c>
      <c r="B13" s="11" t="n">
        <v>5</v>
      </c>
      <c r="C13" s="12" t="n">
        <v>2.85</v>
      </c>
      <c r="D13" s="13" t="s">
        <v>7</v>
      </c>
    </row>
    <row r="14" customFormat="false" ht="15" hidden="false" customHeight="false" outlineLevel="0" collapsed="false">
      <c r="A14" s="5" t="s">
        <v>37</v>
      </c>
      <c r="B14" s="11" t="n">
        <v>50</v>
      </c>
      <c r="C14" s="12" t="n">
        <v>8</v>
      </c>
      <c r="D14" s="13" t="s">
        <v>7</v>
      </c>
    </row>
    <row r="15" customFormat="false" ht="15" hidden="false" customHeight="false" outlineLevel="0" collapsed="false">
      <c r="A15" s="5" t="s">
        <v>59</v>
      </c>
      <c r="B15" s="11" t="n">
        <v>2</v>
      </c>
      <c r="C15" s="12" t="n">
        <v>35.24</v>
      </c>
      <c r="D15" s="13" t="s">
        <v>7</v>
      </c>
    </row>
    <row r="16" customFormat="false" ht="15" hidden="false" customHeight="false" outlineLevel="0" collapsed="false">
      <c r="A16" s="5" t="s">
        <v>56</v>
      </c>
      <c r="B16" s="11" t="n">
        <v>14</v>
      </c>
      <c r="C16" s="12" t="n">
        <v>2.24</v>
      </c>
      <c r="D16" s="13" t="s">
        <v>7</v>
      </c>
    </row>
    <row r="17" customFormat="false" ht="15" hidden="false" customHeight="false" outlineLevel="0" collapsed="false">
      <c r="A17" s="5" t="s">
        <v>18</v>
      </c>
      <c r="B17" s="11" t="n">
        <v>2</v>
      </c>
      <c r="C17" s="12" t="n">
        <v>11.82</v>
      </c>
      <c r="D17" s="13" t="s">
        <v>7</v>
      </c>
    </row>
    <row r="18" customFormat="false" ht="15" hidden="false" customHeight="false" outlineLevel="0" collapsed="false">
      <c r="A18" s="5" t="s">
        <v>68</v>
      </c>
      <c r="B18" s="11" t="n">
        <v>10</v>
      </c>
      <c r="C18" s="12" t="n">
        <v>34.1</v>
      </c>
      <c r="D18" s="13" t="s">
        <v>7</v>
      </c>
    </row>
    <row r="19" customFormat="false" ht="15" hidden="false" customHeight="false" outlineLevel="0" collapsed="false">
      <c r="A19" s="5" t="s">
        <v>70</v>
      </c>
      <c r="B19" s="11" t="n">
        <v>2</v>
      </c>
      <c r="C19" s="12" t="n">
        <v>20.46</v>
      </c>
      <c r="D19" s="13" t="s">
        <v>7</v>
      </c>
    </row>
    <row r="20" customFormat="false" ht="15" hidden="false" customHeight="false" outlineLevel="0" collapsed="false">
      <c r="A20" s="5" t="s">
        <v>24</v>
      </c>
      <c r="B20" s="11" t="n">
        <v>2</v>
      </c>
      <c r="C20" s="12" t="n">
        <v>17.04</v>
      </c>
      <c r="D20" s="13" t="s">
        <v>7</v>
      </c>
    </row>
    <row r="21" customFormat="false" ht="15" hidden="false" customHeight="false" outlineLevel="0" collapsed="false">
      <c r="A21" s="5" t="s">
        <v>11</v>
      </c>
      <c r="B21" s="11" t="n">
        <v>1</v>
      </c>
      <c r="C21" s="12" t="n">
        <v>227.31</v>
      </c>
      <c r="D21" s="13" t="s">
        <v>7</v>
      </c>
    </row>
    <row r="22" customFormat="false" ht="15" hidden="false" customHeight="false" outlineLevel="0" collapsed="false">
      <c r="A22" s="14" t="s">
        <v>76</v>
      </c>
      <c r="B22" s="14"/>
      <c r="C22" s="15" t="n">
        <f aca="false">SUM(C3:C21)</f>
        <v>459.92</v>
      </c>
    </row>
    <row r="23" customFormat="false" ht="15" hidden="false" customHeight="false" outlineLevel="0" collapsed="false">
      <c r="A23" s="14" t="s">
        <v>77</v>
      </c>
      <c r="B23" s="14"/>
      <c r="C23" s="12" t="n">
        <v>143.65</v>
      </c>
      <c r="D23" s="16"/>
    </row>
    <row r="24" customFormat="false" ht="15" hidden="false" customHeight="false" outlineLevel="0" collapsed="false">
      <c r="A24" s="14" t="s">
        <v>78</v>
      </c>
      <c r="B24" s="14"/>
      <c r="C24" s="15" t="n">
        <f aca="false">C22+C23</f>
        <v>603.57</v>
      </c>
    </row>
    <row r="26" customFormat="false" ht="15" hidden="false" customHeight="false" outlineLevel="0" collapsed="false">
      <c r="A26" s="9" t="s">
        <v>79</v>
      </c>
      <c r="B26" s="9"/>
      <c r="C26" s="9"/>
      <c r="D26" s="9"/>
    </row>
    <row r="27" customFormat="false" ht="15" hidden="false" customHeight="false" outlineLevel="0" collapsed="false">
      <c r="A27" s="2" t="s">
        <v>0</v>
      </c>
      <c r="B27" s="10" t="s">
        <v>1</v>
      </c>
      <c r="C27" s="10" t="s">
        <v>75</v>
      </c>
      <c r="D27" s="2" t="s">
        <v>3</v>
      </c>
    </row>
    <row r="28" customFormat="false" ht="15" hidden="false" customHeight="false" outlineLevel="0" collapsed="false">
      <c r="A28" s="5" t="s">
        <v>67</v>
      </c>
      <c r="B28" s="11" t="n">
        <v>1</v>
      </c>
      <c r="C28" s="12" t="n">
        <v>25.57</v>
      </c>
      <c r="D28" s="13" t="s">
        <v>7</v>
      </c>
    </row>
    <row r="29" customFormat="false" ht="15" hidden="false" customHeight="false" outlineLevel="0" collapsed="false">
      <c r="A29" s="5" t="s">
        <v>66</v>
      </c>
      <c r="B29" s="11" t="n">
        <v>5</v>
      </c>
      <c r="C29" s="12" t="n">
        <v>55.2</v>
      </c>
      <c r="D29" s="13" t="s">
        <v>7</v>
      </c>
    </row>
    <row r="30" customFormat="false" ht="15" hidden="false" customHeight="false" outlineLevel="0" collapsed="false">
      <c r="A30" s="5" t="s">
        <v>42</v>
      </c>
      <c r="B30" s="11" t="n">
        <v>50</v>
      </c>
      <c r="C30" s="12" t="n">
        <v>8.5</v>
      </c>
      <c r="D30" s="13" t="s">
        <v>7</v>
      </c>
    </row>
    <row r="31" customFormat="false" ht="15" hidden="false" customHeight="false" outlineLevel="0" collapsed="false">
      <c r="A31" s="5" t="s">
        <v>38</v>
      </c>
      <c r="B31" s="11" t="n">
        <v>50</v>
      </c>
      <c r="C31" s="12" t="n">
        <v>8.5</v>
      </c>
      <c r="D31" s="13" t="s">
        <v>7</v>
      </c>
    </row>
    <row r="32" customFormat="false" ht="15" hidden="false" customHeight="false" outlineLevel="0" collapsed="false">
      <c r="A32" s="5" t="s">
        <v>50</v>
      </c>
      <c r="B32" s="11" t="n">
        <v>50</v>
      </c>
      <c r="C32" s="12" t="n">
        <v>8.5</v>
      </c>
      <c r="D32" s="13" t="s">
        <v>7</v>
      </c>
    </row>
    <row r="33" customFormat="false" ht="15" hidden="false" customHeight="false" outlineLevel="0" collapsed="false">
      <c r="A33" s="5" t="s">
        <v>47</v>
      </c>
      <c r="B33" s="11" t="n">
        <v>50</v>
      </c>
      <c r="C33" s="12" t="n">
        <v>8.5</v>
      </c>
      <c r="D33" s="13" t="s">
        <v>7</v>
      </c>
    </row>
    <row r="34" customFormat="false" ht="15" hidden="false" customHeight="false" outlineLevel="0" collapsed="false">
      <c r="A34" s="5" t="s">
        <v>44</v>
      </c>
      <c r="B34" s="11" t="n">
        <v>50</v>
      </c>
      <c r="C34" s="12" t="n">
        <v>8.5</v>
      </c>
      <c r="D34" s="13" t="s">
        <v>7</v>
      </c>
    </row>
    <row r="35" customFormat="false" ht="15" hidden="false" customHeight="false" outlineLevel="0" collapsed="false">
      <c r="A35" s="5" t="s">
        <v>43</v>
      </c>
      <c r="B35" s="11" t="n">
        <v>50</v>
      </c>
      <c r="C35" s="12" t="n">
        <v>29</v>
      </c>
      <c r="D35" s="13" t="s">
        <v>7</v>
      </c>
    </row>
    <row r="36" customFormat="false" ht="15" hidden="false" customHeight="false" outlineLevel="0" collapsed="false">
      <c r="A36" s="5" t="s">
        <v>39</v>
      </c>
      <c r="B36" s="11" t="n">
        <v>50</v>
      </c>
      <c r="C36" s="12" t="n">
        <v>29</v>
      </c>
      <c r="D36" s="13" t="s">
        <v>7</v>
      </c>
    </row>
    <row r="37" customFormat="false" ht="15" hidden="false" customHeight="false" outlineLevel="0" collapsed="false">
      <c r="A37" s="5" t="s">
        <v>51</v>
      </c>
      <c r="B37" s="11" t="n">
        <v>50</v>
      </c>
      <c r="C37" s="12" t="n">
        <v>29</v>
      </c>
      <c r="D37" s="13" t="s">
        <v>7</v>
      </c>
    </row>
    <row r="38" customFormat="false" ht="15" hidden="false" customHeight="false" outlineLevel="0" collapsed="false">
      <c r="A38" s="5" t="s">
        <v>48</v>
      </c>
      <c r="B38" s="11" t="n">
        <v>50</v>
      </c>
      <c r="C38" s="12" t="n">
        <v>29</v>
      </c>
      <c r="D38" s="13" t="s">
        <v>7</v>
      </c>
    </row>
    <row r="39" customFormat="false" ht="15" hidden="false" customHeight="false" outlineLevel="0" collapsed="false">
      <c r="A39" s="5" t="s">
        <v>45</v>
      </c>
      <c r="B39" s="11" t="n">
        <v>50</v>
      </c>
      <c r="C39" s="12" t="n">
        <v>29</v>
      </c>
      <c r="D39" s="13" t="s">
        <v>7</v>
      </c>
    </row>
    <row r="40" customFormat="false" ht="15" hidden="false" customHeight="false" outlineLevel="0" collapsed="false">
      <c r="A40" s="5" t="s">
        <v>65</v>
      </c>
      <c r="B40" s="11" t="n">
        <v>10</v>
      </c>
      <c r="C40" s="12" t="n">
        <v>16.6</v>
      </c>
      <c r="D40" s="13" t="s">
        <v>7</v>
      </c>
    </row>
    <row r="41" customFormat="false" ht="15" hidden="false" customHeight="false" outlineLevel="0" collapsed="false">
      <c r="A41" s="5" t="s">
        <v>58</v>
      </c>
      <c r="B41" s="11" t="n">
        <v>2</v>
      </c>
      <c r="C41" s="12" t="n">
        <v>37.66</v>
      </c>
      <c r="D41" s="13" t="s">
        <v>7</v>
      </c>
    </row>
    <row r="42" customFormat="false" ht="15" hidden="false" customHeight="false" outlineLevel="0" collapsed="false">
      <c r="A42" s="14" t="s">
        <v>76</v>
      </c>
      <c r="B42" s="14"/>
      <c r="C42" s="15" t="n">
        <f aca="false">SUM(C28:C41)</f>
        <v>322.53</v>
      </c>
    </row>
    <row r="43" customFormat="false" ht="15" hidden="false" customHeight="false" outlineLevel="0" collapsed="false">
      <c r="A43" s="14" t="s">
        <v>77</v>
      </c>
      <c r="B43" s="14"/>
      <c r="C43" s="12" t="n">
        <v>143.91</v>
      </c>
      <c r="D43" s="16"/>
    </row>
    <row r="44" customFormat="false" ht="15" hidden="false" customHeight="false" outlineLevel="0" collapsed="false">
      <c r="A44" s="14" t="s">
        <v>78</v>
      </c>
      <c r="B44" s="14"/>
      <c r="C44" s="15" t="n">
        <f aca="false">C42+C43</f>
        <v>466.44</v>
      </c>
    </row>
    <row r="46" customFormat="false" ht="15" hidden="false" customHeight="false" outlineLevel="0" collapsed="false">
      <c r="A46" s="9" t="s">
        <v>80</v>
      </c>
      <c r="B46" s="9"/>
      <c r="C46" s="9"/>
      <c r="D46" s="9"/>
    </row>
    <row r="47" customFormat="false" ht="15" hidden="false" customHeight="false" outlineLevel="0" collapsed="false">
      <c r="A47" s="2" t="s">
        <v>0</v>
      </c>
      <c r="B47" s="10" t="s">
        <v>1</v>
      </c>
      <c r="C47" s="10" t="s">
        <v>75</v>
      </c>
      <c r="D47" s="2" t="s">
        <v>3</v>
      </c>
    </row>
    <row r="48" customFormat="false" ht="15" hidden="false" customHeight="false" outlineLevel="0" collapsed="false">
      <c r="A48" s="5" t="s">
        <v>35</v>
      </c>
      <c r="B48" s="11" t="n">
        <v>1</v>
      </c>
      <c r="C48" s="12" t="n">
        <v>9.3</v>
      </c>
      <c r="D48" s="13" t="s">
        <v>7</v>
      </c>
    </row>
    <row r="49" customFormat="false" ht="15" hidden="false" customHeight="false" outlineLevel="0" collapsed="false">
      <c r="A49" s="5" t="s">
        <v>16</v>
      </c>
      <c r="B49" s="11" t="n">
        <v>1</v>
      </c>
      <c r="C49" s="12" t="n">
        <v>186</v>
      </c>
      <c r="D49" s="13" t="s">
        <v>7</v>
      </c>
    </row>
    <row r="50" customFormat="false" ht="15" hidden="false" customHeight="false" outlineLevel="0" collapsed="false">
      <c r="A50" s="5" t="s">
        <v>26</v>
      </c>
      <c r="B50" s="11" t="n">
        <v>1</v>
      </c>
      <c r="C50" s="12" t="n">
        <v>8.37</v>
      </c>
      <c r="D50" s="13" t="s">
        <v>7</v>
      </c>
    </row>
    <row r="51" customFormat="false" ht="15" hidden="false" customHeight="false" outlineLevel="0" collapsed="false">
      <c r="A51" s="5" t="s">
        <v>81</v>
      </c>
      <c r="B51" s="11" t="n">
        <v>1</v>
      </c>
      <c r="C51" s="12" t="n">
        <v>195.3</v>
      </c>
      <c r="D51" s="13" t="s">
        <v>7</v>
      </c>
    </row>
    <row r="52" customFormat="false" ht="15" hidden="false" customHeight="false" outlineLevel="0" collapsed="false">
      <c r="A52" s="5" t="s">
        <v>8</v>
      </c>
      <c r="B52" s="11" t="n">
        <v>1</v>
      </c>
      <c r="C52" s="12" t="n">
        <v>232.5</v>
      </c>
      <c r="D52" s="13" t="s">
        <v>7</v>
      </c>
    </row>
    <row r="53" customFormat="false" ht="15" hidden="false" customHeight="false" outlineLevel="0" collapsed="false">
      <c r="A53" s="5" t="s">
        <v>22</v>
      </c>
      <c r="B53" s="11" t="n">
        <v>1</v>
      </c>
      <c r="C53" s="12" t="n">
        <v>32.55</v>
      </c>
      <c r="D53" s="13" t="s">
        <v>7</v>
      </c>
    </row>
    <row r="54" customFormat="false" ht="15" hidden="false" customHeight="false" outlineLevel="0" collapsed="false">
      <c r="A54" s="14" t="s">
        <v>76</v>
      </c>
      <c r="B54" s="14"/>
      <c r="C54" s="15" t="n">
        <f aca="false">SUM(C48:C53)</f>
        <v>664.02</v>
      </c>
    </row>
    <row r="55" customFormat="false" ht="15" hidden="false" customHeight="false" outlineLevel="0" collapsed="false">
      <c r="A55" s="14" t="s">
        <v>77</v>
      </c>
      <c r="B55" s="14"/>
      <c r="C55" s="12" t="n">
        <v>322.52</v>
      </c>
      <c r="D55" s="16"/>
    </row>
    <row r="56" customFormat="false" ht="15" hidden="false" customHeight="false" outlineLevel="0" collapsed="false">
      <c r="A56" s="14" t="s">
        <v>78</v>
      </c>
      <c r="B56" s="14"/>
      <c r="C56" s="15" t="n">
        <f aca="false">C54+C55</f>
        <v>986.54</v>
      </c>
    </row>
    <row r="58" customFormat="false" ht="15" hidden="false" customHeight="false" outlineLevel="0" collapsed="false">
      <c r="A58" s="9" t="s">
        <v>82</v>
      </c>
      <c r="B58" s="9"/>
      <c r="C58" s="9"/>
      <c r="D58" s="9"/>
    </row>
    <row r="59" customFormat="false" ht="15" hidden="false" customHeight="false" outlineLevel="0" collapsed="false">
      <c r="A59" s="2" t="s">
        <v>0</v>
      </c>
      <c r="B59" s="10" t="s">
        <v>1</v>
      </c>
      <c r="C59" s="10" t="s">
        <v>75</v>
      </c>
      <c r="D59" s="2" t="s">
        <v>3</v>
      </c>
    </row>
    <row r="60" customFormat="false" ht="15" hidden="false" customHeight="false" outlineLevel="0" collapsed="false">
      <c r="A60" s="5" t="s">
        <v>15</v>
      </c>
      <c r="B60" s="11" t="n">
        <v>1</v>
      </c>
      <c r="C60" s="12" t="n">
        <v>11.82</v>
      </c>
      <c r="D60" s="13" t="s">
        <v>7</v>
      </c>
    </row>
    <row r="61" customFormat="false" ht="15" hidden="false" customHeight="false" outlineLevel="0" collapsed="false">
      <c r="A61" s="5" t="s">
        <v>73</v>
      </c>
      <c r="B61" s="11" t="n">
        <v>1</v>
      </c>
      <c r="C61" s="12" t="n">
        <v>292.52</v>
      </c>
      <c r="D61" s="13" t="s">
        <v>7</v>
      </c>
    </row>
    <row r="62" customFormat="false" ht="15" hidden="false" customHeight="false" outlineLevel="0" collapsed="false">
      <c r="A62" s="5" t="s">
        <v>13</v>
      </c>
      <c r="B62" s="11" t="n">
        <v>1</v>
      </c>
      <c r="C62" s="12" t="n">
        <v>563.17</v>
      </c>
      <c r="D62" s="13" t="s">
        <v>7</v>
      </c>
    </row>
    <row r="63" customFormat="false" ht="15" hidden="false" customHeight="false" outlineLevel="0" collapsed="false">
      <c r="A63" s="5" t="s">
        <v>34</v>
      </c>
      <c r="B63" s="11" t="n">
        <v>1</v>
      </c>
      <c r="C63" s="12" t="n">
        <v>73.87</v>
      </c>
      <c r="D63" s="13" t="s">
        <v>7</v>
      </c>
    </row>
    <row r="64" customFormat="false" ht="15" hidden="false" customHeight="false" outlineLevel="0" collapsed="false">
      <c r="A64" s="5" t="s">
        <v>23</v>
      </c>
      <c r="B64" s="11" t="n">
        <v>1</v>
      </c>
      <c r="C64" s="12" t="n">
        <v>27.18</v>
      </c>
      <c r="D64" s="13" t="s">
        <v>7</v>
      </c>
    </row>
    <row r="65" customFormat="false" ht="15" hidden="false" customHeight="false" outlineLevel="0" collapsed="false">
      <c r="A65" s="5" t="s">
        <v>27</v>
      </c>
      <c r="B65" s="11" t="n">
        <v>1</v>
      </c>
      <c r="C65" s="12" t="n">
        <v>41.37</v>
      </c>
      <c r="D65" s="13" t="s">
        <v>7</v>
      </c>
    </row>
    <row r="66" customFormat="false" ht="15" hidden="false" customHeight="false" outlineLevel="0" collapsed="false">
      <c r="A66" s="5" t="s">
        <v>5</v>
      </c>
      <c r="B66" s="11" t="n">
        <v>1</v>
      </c>
      <c r="C66" s="12" t="n">
        <v>413.07</v>
      </c>
      <c r="D66" s="13" t="s">
        <v>7</v>
      </c>
    </row>
    <row r="67" customFormat="false" ht="15" hidden="false" customHeight="false" outlineLevel="0" collapsed="false">
      <c r="A67" s="5" t="s">
        <v>32</v>
      </c>
      <c r="B67" s="11" t="n">
        <v>2</v>
      </c>
      <c r="C67" s="12" t="n">
        <v>111.1</v>
      </c>
      <c r="D67" s="13" t="s">
        <v>7</v>
      </c>
    </row>
    <row r="68" customFormat="false" ht="15" hidden="false" customHeight="false" outlineLevel="0" collapsed="false">
      <c r="A68" s="5" t="s">
        <v>33</v>
      </c>
      <c r="B68" s="11" t="n">
        <v>2</v>
      </c>
      <c r="C68" s="12" t="n">
        <v>117.01</v>
      </c>
      <c r="D68" s="13" t="s">
        <v>7</v>
      </c>
    </row>
    <row r="69" customFormat="false" ht="15" hidden="false" customHeight="false" outlineLevel="0" collapsed="false">
      <c r="A69" s="5" t="s">
        <v>31</v>
      </c>
      <c r="B69" s="11" t="n">
        <v>2</v>
      </c>
      <c r="C69" s="12" t="n">
        <v>95.73</v>
      </c>
      <c r="D69" s="13" t="s">
        <v>7</v>
      </c>
    </row>
    <row r="70" customFormat="false" ht="15" hidden="false" customHeight="false" outlineLevel="0" collapsed="false">
      <c r="A70" s="5" t="s">
        <v>72</v>
      </c>
      <c r="B70" s="11" t="n">
        <v>1</v>
      </c>
      <c r="C70" s="12" t="n">
        <v>12.41</v>
      </c>
      <c r="D70" s="13" t="s">
        <v>7</v>
      </c>
    </row>
    <row r="71" customFormat="false" ht="15" hidden="false" customHeight="false" outlineLevel="0" collapsed="false">
      <c r="A71" s="14" t="s">
        <v>76</v>
      </c>
      <c r="B71" s="14"/>
      <c r="C71" s="15" t="n">
        <f aca="false">SUM(C60:C70)</f>
        <v>1759.25</v>
      </c>
    </row>
    <row r="72" customFormat="false" ht="15" hidden="false" customHeight="false" outlineLevel="0" collapsed="false">
      <c r="A72" s="14" t="s">
        <v>77</v>
      </c>
      <c r="B72" s="14"/>
      <c r="C72" s="15" t="n">
        <v>0</v>
      </c>
    </row>
    <row r="73" customFormat="false" ht="15" hidden="false" customHeight="false" outlineLevel="0" collapsed="false">
      <c r="A73" s="14" t="s">
        <v>78</v>
      </c>
      <c r="B73" s="14"/>
      <c r="C73" s="15" t="n">
        <f aca="false">C72+C71</f>
        <v>1759.25</v>
      </c>
    </row>
    <row r="74" customFormat="false" ht="15" hidden="false" customHeight="false" outlineLevel="0" collapsed="false">
      <c r="A74" s="9" t="s">
        <v>83</v>
      </c>
      <c r="B74" s="9"/>
      <c r="C74" s="9"/>
      <c r="D74" s="9"/>
    </row>
    <row r="75" customFormat="false" ht="15" hidden="false" customHeight="false" outlineLevel="0" collapsed="false">
      <c r="A75" s="2" t="s">
        <v>0</v>
      </c>
      <c r="B75" s="10" t="s">
        <v>1</v>
      </c>
      <c r="C75" s="10" t="s">
        <v>75</v>
      </c>
      <c r="D75" s="2" t="s">
        <v>3</v>
      </c>
    </row>
    <row r="76" customFormat="false" ht="15" hidden="false" customHeight="false" outlineLevel="0" collapsed="false">
      <c r="A76" s="5" t="s">
        <v>19</v>
      </c>
      <c r="B76" s="11" t="n">
        <v>1</v>
      </c>
      <c r="C76" s="12" t="n">
        <v>449</v>
      </c>
      <c r="D76" s="13" t="s">
        <v>7</v>
      </c>
    </row>
    <row r="77" customFormat="false" ht="15" hidden="false" customHeight="false" outlineLevel="0" collapsed="false">
      <c r="A77" s="5" t="s">
        <v>21</v>
      </c>
      <c r="B77" s="11" t="n">
        <v>1</v>
      </c>
      <c r="C77" s="12" t="n">
        <v>226</v>
      </c>
      <c r="D77" s="13" t="s">
        <v>7</v>
      </c>
    </row>
    <row r="78" customFormat="false" ht="15" hidden="false" customHeight="false" outlineLevel="0" collapsed="false">
      <c r="A78" s="14" t="s">
        <v>76</v>
      </c>
      <c r="B78" s="14"/>
      <c r="C78" s="15" t="n">
        <f aca="false">SUM(C76:C77)</f>
        <v>675</v>
      </c>
    </row>
    <row r="79" customFormat="false" ht="15" hidden="false" customHeight="false" outlineLevel="0" collapsed="false">
      <c r="A79" s="14" t="s">
        <v>77</v>
      </c>
      <c r="B79" s="14"/>
      <c r="C79" s="15" t="n">
        <v>0</v>
      </c>
    </row>
    <row r="80" customFormat="false" ht="15" hidden="false" customHeight="false" outlineLevel="0" collapsed="false">
      <c r="A80" s="14" t="s">
        <v>78</v>
      </c>
      <c r="B80" s="14"/>
      <c r="C80" s="17" t="n">
        <f aca="false">C78+C79</f>
        <v>675</v>
      </c>
    </row>
    <row r="82" customFormat="false" ht="15" hidden="false" customHeight="false" outlineLevel="0" collapsed="false">
      <c r="A82" s="14" t="s">
        <v>84</v>
      </c>
      <c r="B82" s="14"/>
      <c r="C82" s="18" t="n">
        <f aca="false">(C80+C73+C56+C44+C24)</f>
        <v>4490.8</v>
      </c>
    </row>
  </sheetData>
  <mergeCells count="21">
    <mergeCell ref="A1:D1"/>
    <mergeCell ref="A22:B22"/>
    <mergeCell ref="A23:B23"/>
    <mergeCell ref="A24:B24"/>
    <mergeCell ref="A26:D26"/>
    <mergeCell ref="A42:B42"/>
    <mergeCell ref="A43:B43"/>
    <mergeCell ref="A44:B44"/>
    <mergeCell ref="A46:D46"/>
    <mergeCell ref="A54:B54"/>
    <mergeCell ref="A55:B55"/>
    <mergeCell ref="A56:B56"/>
    <mergeCell ref="A58:D58"/>
    <mergeCell ref="A71:B71"/>
    <mergeCell ref="A72:B72"/>
    <mergeCell ref="A73:B73"/>
    <mergeCell ref="A74:D74"/>
    <mergeCell ref="A78:B78"/>
    <mergeCell ref="A79:B79"/>
    <mergeCell ref="A80:B80"/>
    <mergeCell ref="A82:B82"/>
  </mergeCells>
  <hyperlinks>
    <hyperlink ref="D3" r:id="rId1" display="Ürün Linki"/>
    <hyperlink ref="D4" r:id="rId2" display="Ürün Linki"/>
    <hyperlink ref="D5" r:id="rId3" display="Ürün Linki"/>
    <hyperlink ref="D6" r:id="rId4" display="Ürün Linki"/>
    <hyperlink ref="D7" r:id="rId5" display="Ürün Linki"/>
    <hyperlink ref="D8" r:id="rId6" display="Ürün Linki"/>
    <hyperlink ref="D9" r:id="rId7" display="Ürün Linki"/>
    <hyperlink ref="D10" r:id="rId8" display="Ürün Linki"/>
    <hyperlink ref="D11" r:id="rId9" display="Ürün Linki"/>
    <hyperlink ref="D12" r:id="rId10" display="Ürün Linki"/>
    <hyperlink ref="D13" r:id="rId11" display="Ürün Linki"/>
    <hyperlink ref="D14" r:id="rId12" display="Ürün Linki"/>
    <hyperlink ref="D15" r:id="rId13" display="Ürün Linki"/>
    <hyperlink ref="D16" r:id="rId14" display="Ürün Linki"/>
    <hyperlink ref="D17" r:id="rId15" display="Ürün Linki"/>
    <hyperlink ref="D18" r:id="rId16" display="Ürün Linki"/>
    <hyperlink ref="D19" r:id="rId17" display="Ürün Linki"/>
    <hyperlink ref="D20" r:id="rId18" display="Ürün Linki"/>
    <hyperlink ref="D21" r:id="rId19" display="Ürün Linki"/>
    <hyperlink ref="D28" r:id="rId20" display="Ürün Linki"/>
    <hyperlink ref="D29" r:id="rId21" display="Ürün Linki"/>
    <hyperlink ref="D30" r:id="rId22" display="Ürün Linki"/>
    <hyperlink ref="D31" r:id="rId23" display="Ürün Linki"/>
    <hyperlink ref="D32" r:id="rId24" display="Ürün Linki"/>
    <hyperlink ref="D33" r:id="rId25" display="Ürün Linki"/>
    <hyperlink ref="D34" r:id="rId26" display="Ürün Linki"/>
    <hyperlink ref="D35" r:id="rId27" display="Ürün Linki"/>
    <hyperlink ref="D36" r:id="rId28" display="Ürün Linki"/>
    <hyperlink ref="D37" r:id="rId29" display="Ürün Linki"/>
    <hyperlink ref="D38" r:id="rId30" display="Ürün Linki"/>
    <hyperlink ref="D39" r:id="rId31" display="Ürün Linki"/>
    <hyperlink ref="D40" r:id="rId32" display="Ürün Linki"/>
    <hyperlink ref="D41" r:id="rId33" display="Ürün Linki"/>
    <hyperlink ref="D48" r:id="rId34" display="Ürün Linki"/>
    <hyperlink ref="D49" r:id="rId35" display="Ürün Linki"/>
    <hyperlink ref="D50" r:id="rId36" display="Ürün Linki"/>
    <hyperlink ref="D51" r:id="rId37" display="Ürün Linki"/>
    <hyperlink ref="D52" r:id="rId38" display="Ürün Linki"/>
    <hyperlink ref="D53" r:id="rId39" display="Ürün Linki"/>
    <hyperlink ref="D60" r:id="rId40" display="Ürün Linki"/>
    <hyperlink ref="D61" r:id="rId41" display="Ürün Linki"/>
    <hyperlink ref="D62" r:id="rId42" display="Ürün Linki"/>
    <hyperlink ref="D63" r:id="rId43" display="Ürün Linki"/>
    <hyperlink ref="D64" r:id="rId44" display="Ürün Linki"/>
    <hyperlink ref="D65" r:id="rId45" display="Ürün Linki"/>
    <hyperlink ref="D66" r:id="rId46" display="Ürün Linki"/>
    <hyperlink ref="D67" r:id="rId47" display="Ürün Linki"/>
    <hyperlink ref="D68" r:id="rId48" display="Ürün Linki"/>
    <hyperlink ref="D69" r:id="rId49" display="Ürün Linki"/>
    <hyperlink ref="D70" r:id="rId50" display="Ürün Linki"/>
    <hyperlink ref="D76" r:id="rId51" display="Ürün Linki"/>
    <hyperlink ref="D77" r:id="rId52" display="Ürün Linki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2026-09-12T17:41:58Z</dcterms:created>
  <dc:creator>openpyxl</dc:creator>
  <dc:description/>
  <dc:language>en-US</dc:language>
  <cp:lastModifiedBy/>
  <dcterms:modified xsi:type="dcterms:W3CDTF">2026-09-12T21:00:00Z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